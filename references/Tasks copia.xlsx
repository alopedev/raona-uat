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pivotTables/pivotTable1.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alexolive/Documents/Raona/Proyectos/Esteve/Agentes IA/proyecto/01_Discovery/features validadas/"/>
    </mc:Choice>
  </mc:AlternateContent>
  <xr:revisionPtr revIDLastSave="0" documentId="13_ncr:1_{80F1F3EA-258A-EB45-9191-7132AE32F9C2}" xr6:coauthVersionLast="47" xr6:coauthVersionMax="47" xr10:uidLastSave="{00000000-0000-0000-0000-000000000000}"/>
  <bookViews>
    <workbookView xWindow="0" yWindow="680" windowWidth="34200" windowHeight="21460" activeTab="3" xr2:uid="{612F2F5B-321F-4DB0-BAD7-2F90FB065546}"/>
  </bookViews>
  <sheets>
    <sheet name="Summary" sheetId="8" state="hidden" r:id="rId1"/>
    <sheet name="Releases" sheetId="6" state="hidden" r:id="rId2"/>
    <sheet name="Requirements" sheetId="3" state="hidden" r:id="rId3"/>
    <sheet name="Features" sheetId="1" r:id="rId4"/>
    <sheet name="Tasks" sheetId="12" r:id="rId5"/>
    <sheet name="Hoja1" sheetId="11" state="hidden" r:id="rId6"/>
    <sheet name="UATs" sheetId="7" state="hidden" r:id="rId7"/>
    <sheet name="Glossary" sheetId="9" state="hidden" r:id="rId8"/>
  </sheets>
  <definedNames>
    <definedName name="ReleaseList" comment="Lista de versiones del proyecto">Releases[Release]</definedName>
  </definedNames>
  <calcPr calcId="191028"/>
  <pivotCaches>
    <pivotCache cacheId="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6" l="1"/>
  <c r="D5" i="3"/>
  <c r="G14" i="6"/>
  <c r="G13" i="6"/>
  <c r="G12" i="6"/>
  <c r="G10" i="6"/>
  <c r="G11" i="6"/>
  <c r="F14" i="6"/>
  <c r="F13" i="6"/>
  <c r="F12" i="6"/>
  <c r="F11" i="6"/>
  <c r="F10" i="6"/>
  <c r="G14" i="8" l="1"/>
  <c r="F14" i="8"/>
  <c r="E14" i="8"/>
  <c r="D13" i="8"/>
  <c r="G13" i="8"/>
  <c r="F13" i="8"/>
  <c r="E13" i="8"/>
  <c r="G42" i="8"/>
  <c r="G12" i="8" s="1"/>
  <c r="F42" i="8"/>
  <c r="F12" i="8" s="1"/>
  <c r="E42" i="8"/>
  <c r="G52" i="8"/>
  <c r="G51" i="8"/>
  <c r="G50" i="8"/>
  <c r="G49" i="8"/>
  <c r="G48" i="8"/>
  <c r="G47" i="8"/>
  <c r="G46" i="8"/>
  <c r="G45" i="8"/>
  <c r="F52" i="8"/>
  <c r="F51" i="8"/>
  <c r="F50" i="8"/>
  <c r="F49" i="8"/>
  <c r="F48" i="8"/>
  <c r="F47" i="8"/>
  <c r="F46" i="8"/>
  <c r="F45" i="8"/>
  <c r="D9" i="7"/>
  <c r="D10" i="7"/>
  <c r="D11" i="7"/>
  <c r="D12" i="7"/>
  <c r="D13" i="7"/>
  <c r="D14" i="7"/>
  <c r="D15" i="7"/>
  <c r="D16" i="7"/>
  <c r="E45" i="8"/>
  <c r="E52" i="8"/>
  <c r="E51" i="8"/>
  <c r="E50" i="8"/>
  <c r="E49" i="8"/>
  <c r="E48" i="8"/>
  <c r="E47" i="8"/>
  <c r="E46" i="8"/>
  <c r="H30" i="8"/>
  <c r="G30" i="8"/>
  <c r="G11" i="8" s="1"/>
  <c r="F30" i="8"/>
  <c r="F11" i="8" s="1"/>
  <c r="E30" i="8"/>
  <c r="E11" i="8" s="1"/>
  <c r="H40" i="8"/>
  <c r="H39" i="8"/>
  <c r="H38" i="8"/>
  <c r="H37" i="8"/>
  <c r="H36" i="8"/>
  <c r="H35" i="8"/>
  <c r="H34" i="8"/>
  <c r="H33" i="8"/>
  <c r="G40" i="8"/>
  <c r="G39" i="8"/>
  <c r="G38" i="8"/>
  <c r="G37" i="8"/>
  <c r="G36" i="8"/>
  <c r="G35" i="8"/>
  <c r="G34" i="8"/>
  <c r="G33" i="8"/>
  <c r="F40" i="8"/>
  <c r="F39" i="8"/>
  <c r="F38" i="8"/>
  <c r="F37" i="8"/>
  <c r="F36" i="8"/>
  <c r="F35" i="8"/>
  <c r="F34" i="8"/>
  <c r="F33" i="8"/>
  <c r="E34" i="8"/>
  <c r="E35" i="8"/>
  <c r="E36" i="8"/>
  <c r="E37" i="8"/>
  <c r="E38" i="8"/>
  <c r="E39" i="8"/>
  <c r="E40" i="8"/>
  <c r="E33" i="8"/>
  <c r="H17" i="8"/>
  <c r="G17" i="8"/>
  <c r="F17" i="8"/>
  <c r="F10" i="8" s="1"/>
  <c r="E17" i="8"/>
  <c r="E10" i="8" s="1"/>
  <c r="H28" i="8"/>
  <c r="H27" i="8"/>
  <c r="H26" i="8"/>
  <c r="H25" i="8"/>
  <c r="G28" i="8"/>
  <c r="G27" i="8"/>
  <c r="G26" i="8"/>
  <c r="G25" i="8"/>
  <c r="F28" i="8"/>
  <c r="F27" i="8"/>
  <c r="F26" i="8"/>
  <c r="F25" i="8"/>
  <c r="E26" i="8"/>
  <c r="E27" i="8"/>
  <c r="E28" i="8"/>
  <c r="E25" i="8"/>
  <c r="H23" i="8"/>
  <c r="H22" i="8"/>
  <c r="H21" i="8"/>
  <c r="H20" i="8"/>
  <c r="G23" i="8"/>
  <c r="G22" i="8"/>
  <c r="G21" i="8"/>
  <c r="G20" i="8"/>
  <c r="F23" i="8"/>
  <c r="F22" i="8"/>
  <c r="F21" i="8"/>
  <c r="F20" i="8"/>
  <c r="E21" i="8"/>
  <c r="E22" i="8"/>
  <c r="E23" i="8"/>
  <c r="E20" i="8"/>
  <c r="D5" i="7"/>
  <c r="D4" i="7"/>
  <c r="D5" i="6"/>
  <c r="D5" i="1"/>
  <c r="D4" i="1"/>
  <c r="D14" i="8" l="1"/>
  <c r="E44" i="8"/>
  <c r="G44" i="8"/>
  <c r="F44" i="8"/>
  <c r="G10" i="8"/>
  <c r="D42" i="8"/>
  <c r="D12" i="8" s="1"/>
  <c r="E12" i="8"/>
  <c r="E32" i="8"/>
  <c r="F32" i="8"/>
  <c r="G32" i="8"/>
  <c r="H32" i="8"/>
  <c r="D30" i="8"/>
  <c r="D11" i="8" s="1"/>
  <c r="F19" i="8"/>
  <c r="H19" i="8"/>
  <c r="E24" i="8"/>
  <c r="G24" i="8"/>
  <c r="D17" i="8"/>
  <c r="D10" i="8" s="1"/>
  <c r="H24" i="8"/>
  <c r="E19" i="8"/>
  <c r="F24" i="8"/>
  <c r="G1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Joan Llopart Belloc</author>
  </authors>
  <commentList>
    <comment ref="C8" authorId="0" shapeId="0" xr:uid="{BBB9ED9E-09D0-4891-995D-A2209D35DEFB}">
      <text>
        <r>
          <rPr>
            <sz val="9"/>
            <color rgb="FF000000"/>
            <rFont val="Segoe UI"/>
            <family val="2"/>
          </rPr>
          <t>Área conceptual o módulo de la solución a desarrollar para agrupar y filtrar los requerimientos relacionados</t>
        </r>
      </text>
    </comment>
    <comment ref="D8" authorId="0" shapeId="0" xr:uid="{842E536F-88FD-48D7-A04D-BAF2F3BFD362}">
      <text>
        <r>
          <rPr>
            <sz val="9"/>
            <color rgb="FF000000"/>
            <rFont val="Tahoma"/>
            <family val="2"/>
          </rPr>
          <t>Concepto breve del requerimiento a cubrir con la solución a desarrollar</t>
        </r>
      </text>
    </comment>
    <comment ref="E8" authorId="0" shapeId="0" xr:uid="{B14C53CB-96F1-4463-83DA-DF8C5C40E866}">
      <text>
        <r>
          <rPr>
            <sz val="9"/>
            <color rgb="FF000000"/>
            <rFont val="Tahoma"/>
            <family val="2"/>
          </rPr>
          <t xml:space="preserve">Detalle del requeriimiento para incorporar en el documento funcional, concretando los puntos clave a tener en cuenta.
</t>
        </r>
      </text>
    </comment>
    <comment ref="F8" authorId="0" shapeId="0" xr:uid="{55B5451A-8867-44CC-A155-A07F2DF7DCF0}">
      <text>
        <r>
          <rPr>
            <sz val="8"/>
            <color rgb="FF000000"/>
            <rFont val="Segoe UI"/>
            <family val="2"/>
          </rPr>
          <t xml:space="preserve">Tipo de requerimiento (ver References):
</t>
        </r>
        <r>
          <rPr>
            <sz val="8"/>
            <color rgb="FF000000"/>
            <rFont val="Segoe UI"/>
            <family val="2"/>
          </rPr>
          <t xml:space="preserve">- Business -&gt; Negocio, entorno, procesos,...
</t>
        </r>
        <r>
          <rPr>
            <sz val="8"/>
            <color rgb="FF000000"/>
            <rFont val="Segoe UI"/>
            <family val="2"/>
          </rPr>
          <t xml:space="preserve">- User -&gt; Acciones, usabilidad, productividad,...
</t>
        </r>
        <r>
          <rPr>
            <sz val="8"/>
            <color rgb="FF000000"/>
            <rFont val="Segoe UI"/>
            <family val="2"/>
          </rPr>
          <t xml:space="preserve">- Technology -&gt; Plataformas, rendimiento, costes,...
</t>
        </r>
        <r>
          <rPr>
            <sz val="8"/>
            <color rgb="FF000000"/>
            <rFont val="Segoe UI"/>
            <family val="2"/>
          </rPr>
          <t>- Lifecycle -&gt; Operación, mantenimiento, administración,...</t>
        </r>
      </text>
    </comment>
    <comment ref="G8" authorId="0" shapeId="0" xr:uid="{2C5092B5-B7A8-4FA3-8194-6BD95F5C3C0E}">
      <text>
        <r>
          <rPr>
            <sz val="9"/>
            <color rgb="FF000000"/>
            <rFont val="Segoe UI"/>
            <family val="2"/>
          </rPr>
          <t>Persona que ha solicitado el requerimiento</t>
        </r>
      </text>
    </comment>
    <comment ref="H8" authorId="0" shapeId="0" xr:uid="{5A8C3FBE-01DC-49E5-BDE7-B9EF9978326F}">
      <text>
        <r>
          <rPr>
            <sz val="9"/>
            <color rgb="FF000000"/>
            <rFont val="Segoe UI"/>
            <family val="2"/>
            <charset val="1"/>
          </rPr>
          <t>Prioridad del requerimiento según el criterio del Requester, aplicando el modelo Moscow, ver "References"</t>
        </r>
      </text>
    </comment>
    <comment ref="I8" authorId="0" shapeId="0" xr:uid="{1D614E93-8F71-4D2D-8CF7-12F344D7E381}">
      <text>
        <r>
          <rPr>
            <sz val="9"/>
            <color rgb="FF000000"/>
            <rFont val="Tahoma"/>
            <family val="2"/>
          </rPr>
          <t xml:space="preserve">Requerimiento a contemplar en el alcance del proyecto.
</t>
        </r>
        <r>
          <rPr>
            <sz val="9"/>
            <color rgb="FF000000"/>
            <rFont val="Tahoma"/>
            <family val="2"/>
          </rPr>
          <t xml:space="preserve">- Pending: Incorporado a la lista pero sin analizar ni revisar.
</t>
        </r>
        <r>
          <rPr>
            <sz val="9"/>
            <color rgb="FF000000"/>
            <rFont val="Tahoma"/>
            <family val="2"/>
          </rPr>
          <t xml:space="preserve">- Reviewing: En revisión con el Requester y el equipo para ver su encaje en el alcance.
</t>
        </r>
        <r>
          <rPr>
            <sz val="9"/>
            <color rgb="FF000000"/>
            <rFont val="Tahoma"/>
            <family val="2"/>
          </rPr>
          <t xml:space="preserve">- Included: Contemplado en el alcance y con las Featureas asociadas definidas.
</t>
        </r>
        <r>
          <rPr>
            <sz val="9"/>
            <color rgb="FF000000"/>
            <rFont val="Tahoma"/>
            <family val="2"/>
          </rPr>
          <t>- Not included: Fuera del Alcance del proyecto, se analizará en futuras fases.</t>
        </r>
      </text>
    </comment>
    <comment ref="K8" authorId="0" shapeId="0" xr:uid="{C2B94C98-ABAF-4C93-9CE7-FC42510EC2BC}">
      <text>
        <r>
          <rPr>
            <sz val="9"/>
            <color rgb="FF000000"/>
            <rFont val="Tahoma"/>
            <family val="2"/>
          </rPr>
          <t>Funcionalidades relacionadas con este requerimiento que van a implementar la necesidad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Joan Llopart Belloc</author>
  </authors>
  <commentList>
    <comment ref="C7" authorId="0" shapeId="0" xr:uid="{79819D51-DE0E-44CD-AD57-87A2176E57EB}">
      <text>
        <r>
          <rPr>
            <sz val="9"/>
            <color indexed="81"/>
            <rFont val="Tahoma"/>
            <family val="2"/>
          </rPr>
          <t>Área conceptual o módulo de la solución a desarrollar para agrupar y filtrar los funcionalidades relacionadas</t>
        </r>
      </text>
    </comment>
    <comment ref="F7" authorId="0" shapeId="0" xr:uid="{7FABE1BC-8112-48C2-8274-EEE79DA2D992}">
      <text>
        <r>
          <rPr>
            <sz val="9"/>
            <color indexed="81"/>
            <rFont val="Tahoma"/>
            <family val="2"/>
          </rPr>
          <t xml:space="preserve">Detalle de la funcionalidad para incorporar en el documento funcional, concretando los puntos clave a tener en cuenta en su implementación.
</t>
        </r>
      </text>
    </comment>
    <comment ref="G7" authorId="0" shapeId="0" xr:uid="{03CC665D-740F-49E0-8815-07D95D89D03B}">
      <text>
        <r>
          <rPr>
            <sz val="9"/>
            <color indexed="81"/>
            <rFont val="Tahoma"/>
            <family val="2"/>
          </rPr>
          <t>Acelerador o módulo de la solución que debe contener esa funcionalidad. A concretar con el Arquitecto del proyecto.</t>
        </r>
      </text>
    </comment>
    <comment ref="H7" authorId="0" shapeId="0" xr:uid="{C534AF44-58E6-401F-9D58-78A0D6DECB8E}">
      <text>
        <r>
          <rPr>
            <sz val="9"/>
            <color indexed="81"/>
            <rFont val="Tahoma"/>
            <family val="2"/>
          </rPr>
          <t>Facilidad: esfuerzo necesario para la implementación de la funcionalidad, sea en tiempo, dinero o complejidad de la misma. A mayor facilidad, menor esfuerzo y coste esperado. Valor entre 0 y 10.</t>
        </r>
      </text>
    </comment>
  </commentList>
</comments>
</file>

<file path=xl/sharedStrings.xml><?xml version="1.0" encoding="utf-8"?>
<sst xmlns="http://schemas.openxmlformats.org/spreadsheetml/2006/main" count="690" uniqueCount="361">
  <si>
    <t>Releases</t>
  </si>
  <si>
    <t>Requirements</t>
  </si>
  <si>
    <t>UATs</t>
  </si>
  <si>
    <t xml:space="preserve">Project Functional Development </t>
  </si>
  <si>
    <t>Proyecto</t>
  </si>
  <si>
    <t>Portal Agentes</t>
  </si>
  <si>
    <t>Cliente</t>
  </si>
  <si>
    <t>Esteve</t>
  </si>
  <si>
    <t>Owner</t>
  </si>
  <si>
    <t>Alex Olivé</t>
  </si>
  <si>
    <t>Fecha</t>
  </si>
  <si>
    <t>Functional Summary</t>
  </si>
  <si>
    <t>Total</t>
  </si>
  <si>
    <t>Pending</t>
  </si>
  <si>
    <t>In progress</t>
  </si>
  <si>
    <t>Finished</t>
  </si>
  <si>
    <t>Features - Design</t>
  </si>
  <si>
    <t>Features - Validation</t>
  </si>
  <si>
    <t>Reviewing</t>
  </si>
  <si>
    <t>Included</t>
  </si>
  <si>
    <t>Not Included</t>
  </si>
  <si>
    <t>by Type</t>
  </si>
  <si>
    <t>Business</t>
  </si>
  <si>
    <t>User</t>
  </si>
  <si>
    <t>Technology</t>
  </si>
  <si>
    <t>Lifecycle</t>
  </si>
  <si>
    <t>by Priority</t>
  </si>
  <si>
    <t>Must have</t>
  </si>
  <si>
    <t>Should have</t>
  </si>
  <si>
    <t>Could have</t>
  </si>
  <si>
    <t>Will not have</t>
  </si>
  <si>
    <t>Features Design</t>
  </si>
  <si>
    <t>by Area</t>
  </si>
  <si>
    <t>Navigation</t>
  </si>
  <si>
    <t>Content</t>
  </si>
  <si>
    <t>Home Page</t>
  </si>
  <si>
    <t>Administration</t>
  </si>
  <si>
    <t>Features Validation</t>
  </si>
  <si>
    <t>Validating</t>
  </si>
  <si>
    <t>Approved</t>
  </si>
  <si>
    <t>Solution Release List</t>
  </si>
  <si>
    <r>
      <rPr>
        <b/>
        <i/>
        <sz val="11"/>
        <color theme="1"/>
        <rFont val="Aptos"/>
        <family val="2"/>
      </rPr>
      <t>Release</t>
    </r>
    <r>
      <rPr>
        <i/>
        <sz val="11"/>
        <color theme="1"/>
        <rFont val="Aptos"/>
        <family val="2"/>
      </rPr>
      <t>: versiones intermedias del proyecto que permitan una validación incremental del avance de las funcionalidades implementadas en la solución según acordado entre PM, CF, ARQ y Cliente</t>
    </r>
  </si>
  <si>
    <t>Versión</t>
  </si>
  <si>
    <t>1.0</t>
  </si>
  <si>
    <t>Id</t>
  </si>
  <si>
    <t>Release</t>
  </si>
  <si>
    <t>Release Name</t>
  </si>
  <si>
    <t>Description</t>
  </si>
  <si>
    <t>Feat. Included</t>
  </si>
  <si>
    <t>Feat. Validated</t>
  </si>
  <si>
    <t>Delivery Date</t>
  </si>
  <si>
    <t>Status</t>
  </si>
  <si>
    <t>RD.01</t>
  </si>
  <si>
    <t>Design Close</t>
  </si>
  <si>
    <t>Cierre Diseño Funcional</t>
  </si>
  <si>
    <t>Finalización del diseño y concreción de Requerimientos y Funcionalidades de la solución para determinar el plan de trabajo según las Releases previstas.</t>
  </si>
  <si>
    <t>Planned</t>
  </si>
  <si>
    <t>RL.01</t>
  </si>
  <si>
    <t>Beta 1</t>
  </si>
  <si>
    <t>Intranet: Home y navegación</t>
  </si>
  <si>
    <t>RL.02</t>
  </si>
  <si>
    <t>Beta 2</t>
  </si>
  <si>
    <t>Board de Comunicación</t>
  </si>
  <si>
    <t>RL.03</t>
  </si>
  <si>
    <t>Beta 3</t>
  </si>
  <si>
    <t>Boards Documentales</t>
  </si>
  <si>
    <t>RL.04</t>
  </si>
  <si>
    <t>Go Live</t>
  </si>
  <si>
    <t>Entrega final</t>
  </si>
  <si>
    <t>Project Requirement List</t>
  </si>
  <si>
    <r>
      <rPr>
        <b/>
        <i/>
        <sz val="9"/>
        <color theme="1"/>
        <rFont val="Lora"/>
      </rPr>
      <t>Requerimientos</t>
    </r>
    <r>
      <rPr>
        <i/>
        <sz val="9"/>
        <color theme="1"/>
        <rFont val="Lora"/>
      </rPr>
      <t>: problemáticas y necesidades del cliente que deben ser resueltas por la solución a desarrollar, contemplando todas las preocupaciones, ideas y peticiones expuestas durante el análisis.</t>
    </r>
  </si>
  <si>
    <t>3.0</t>
  </si>
  <si>
    <t>Area</t>
  </si>
  <si>
    <t>Requirement</t>
  </si>
  <si>
    <t>Type</t>
  </si>
  <si>
    <t>Requester</t>
  </si>
  <si>
    <t>Priority</t>
  </si>
  <si>
    <t>Session</t>
  </si>
  <si>
    <t>Feature</t>
  </si>
  <si>
    <t>Comments</t>
  </si>
  <si>
    <t>RQ.01</t>
  </si>
  <si>
    <t>Métodos Analíticos</t>
  </si>
  <si>
    <t>Carga de Documentos PDF Pre-digitalizados</t>
  </si>
  <si>
    <t>Cuando el usuario autorizado accede al Agente de Métodos Analíticos desde cualquiera de los canales habilitados (portal web, Microsoft Teams o weConnect) y selecciona la opción de procesar documento, el sistema debe permitir la carga de archivos de métodos analíticos químicos procedentes de hasta 100 clientes distintos con formatos documentales variables.
El sistema debe validar que el formato del archivo cargado es compatible con los tipos soportados (¿PDF, Word? → Definir en Discovery) y que el tamaño no excede los 200MB establecidos como límite. Una vez validado el archivo, la carga se integra automáticamente con Azure AI Document Intelligence para el posterior procesamiento estructurado del documento.
Los documentos procesados corresponden a métodos analíticos químicos que contienen información técnica estructurada en apartados específicos (objetivo, reactivos, equipamiento, condiciones cromatográficas, preparación de muestras, secuencia de inyección, sistema de idoneidad y cálculos).</t>
  </si>
  <si>
    <t>Accesible desde 3 canales: Portal web, MS Teams y weconnect.</t>
  </si>
  <si>
    <t>RQ.02A</t>
  </si>
  <si>
    <t>Extracción Estructura 8 Apartados (PoC Validado)</t>
  </si>
  <si>
    <r>
      <t xml:space="preserve">Cuando el usuario carga un documento de método analítico químico y solicita procesarlo, el sistema extrae la información organizada en 8 apartados especializados. Esta estructura fue validada en el PoC realizado por Esteve con Tokiota.
</t>
    </r>
    <r>
      <rPr>
        <b/>
        <sz val="10"/>
        <color rgb="FF000000"/>
        <rFont val="Lora"/>
      </rPr>
      <t>Apartados a extraer</t>
    </r>
    <r>
      <rPr>
        <sz val="10"/>
        <color rgb="FF000000"/>
        <rFont val="Lora"/>
      </rPr>
      <t>:
- AIM - Objetivo del método
- REAGENTS - Reactivos y calidades
- EQUIPMENT - Instrumentos utilizados
- CHROMATOGRAPHIC CONDITIONS - Fases móviles y condiciones
- SAMPLE AND STANDARD PREPARATION - Preparación de muestras
- INJECTION SEQUENCE - Secuencia de inyecciones
- SYSTEM SUITABILITY - Parámetros de idoneidad
- CALCULATIONS - Criterios de cálculo
El sistema utilizará prompts especializados validados en el PoC que alcanzaron tasas de éxito del 93.5% con GPT-4o y 98.4% con Phi-4 sobre documentos reales de múltiples proveedores.</t>
    </r>
  </si>
  <si>
    <t>RQ.02B</t>
  </si>
  <si>
    <t>Manejo de Apartados con Resultados Variables</t>
  </si>
  <si>
    <r>
      <t xml:space="preserve">Cuando el sistema completa la extracción de los 8 apartados (RQ.02A), el usuario visualiza los resultados obtenidos.
El sistema replica el proceso validado en el PoC de ESTEVE utilizando los prompts predefinidos. Los resultados pueden variar según la estructura y formato del documento origen de cada cliente.
El usuario revisa los apartados extraídos. Si detecta información que requiere ajuste, puede continuar la conversación con el agente para refinar el resultado (ver RQ.07).
</t>
    </r>
    <r>
      <rPr>
        <b/>
        <sz val="10"/>
        <color rgb="FF000000"/>
        <rFont val="Lora"/>
      </rPr>
      <t>Comments (contexto técnico interno)</t>
    </r>
    <r>
      <rPr>
        <sz val="10"/>
        <color rgb="FF000000"/>
        <rFont val="Lora"/>
      </rPr>
      <t>:
PoC Tokiota identificó variabilidad en ciertos apartados:
- REAGENTS: posible redundancia en algunos documentos
- EQUIPMENT: formatos variables según proveedor
TBD Marc/Eduard: criterios de comportamiento esperado en estos casos.</t>
    </r>
  </si>
  <si>
    <t>PoC identificó 2 apartados problemáticos: 
REAGENTS (redundancia)
EQUIPMENT (formatos).</t>
  </si>
  <si>
    <t>RQ.03</t>
  </si>
  <si>
    <t>Generación de Output Estructurado con Preservación de Formato</t>
  </si>
  <si>
    <r>
      <t xml:space="preserve">Cuando el usuario solicita procesar un documento de método analítico, el sistema extrae la información de los 8 apartados y genera un documento de salida en formato texto plano (.txt) con estructura enriquecida.
</t>
    </r>
    <r>
      <rPr>
        <b/>
        <sz val="10"/>
        <color rgb="FF000000"/>
        <rFont val="Lora"/>
      </rPr>
      <t>Estructura del documento generado</t>
    </r>
    <r>
      <rPr>
        <sz val="10"/>
        <color rgb="FF000000"/>
        <rFont val="Lora"/>
      </rPr>
      <t xml:space="preserve">:
- Cabeceras jerárquicas por apartado (AIM, REAGENTS, EQUIPMENT, etc.)
- Fórmulas químicas como texto (ejemplo: H₂O)
- Información tabular representada mediante texto estructurado con separadores claros
- Secciones y sub-secciones indicadas mediante cabeceras
El usuario descarga el documento generado desde la interfaz conversacional
</t>
    </r>
    <r>
      <rPr>
        <b/>
        <sz val="10"/>
        <color rgb="FF000000"/>
        <rFont val="Lora"/>
      </rPr>
      <t>TBDs Discovery</t>
    </r>
    <r>
      <rPr>
        <sz val="10"/>
        <color rgb="FF000000"/>
        <rFont val="Lora"/>
      </rPr>
      <t>:
- Validar con 3-5 samples reales si formato texto plano cumple expectativas usuario
- Si cliente requiere formato avanzado (tablas preservadas), evaluar cambio a DOCX (fuera alcance propuesta actual)</t>
    </r>
  </si>
  <si>
    <t>Según propuesta página 13, el agente genera documento con formato de texto plano. Formato específico TBD en Discovery.
El documento generado debe ser descargable por el usuario. La conversión se realiza utilizando los prompts predefinidos por Esteve validados en su POC previo.</t>
  </si>
  <si>
    <t>RQ.04</t>
  </si>
  <si>
    <t>Procesamiento de Múltiples Ficheros con Modelo Pay-Per-Use</t>
  </si>
  <si>
    <r>
      <t xml:space="preserve">Cuando el usuario carga múltiples documentos de métodos analíticos, el sistema procesa cada documento de forma escalable sin límites de volumen operativo.
El sistema soporta hasta 100 variaciones de formato documental de diferentes clientes (tipos de documento entrenados en el modelo).
</t>
    </r>
    <r>
      <rPr>
        <b/>
        <sz val="10"/>
        <color rgb="FF000000"/>
        <rFont val="Lora"/>
      </rPr>
      <t>Tecnologías</t>
    </r>
    <r>
      <rPr>
        <sz val="10"/>
        <color rgb="FF000000"/>
        <rFont val="Lora"/>
      </rPr>
      <t>:
- Azure AI Document Intelligence (OCR y procesamiento)
- Azure AI Foundry (extracción con prompts especializados)
El consumo de recursos se factura según uso real (modelo pay-per-use). El usuario con rol Administrador monitoriza el consumo y presupuesto en tiempo real desde el dashboard de consumos (RQ.27).</t>
    </r>
  </si>
  <si>
    <t>Infraestructure</t>
  </si>
  <si>
    <t>RQ.05</t>
  </si>
  <si>
    <t>Control de Acceso Restringido y Auditoría Completa</t>
  </si>
  <si>
    <t>Cuando un usuario accede al Portal, el sistema muestra únicamente los agentes para los que está autorizado según su pertenencia a grupos de Active Directory. El agente Métodos Analíticos es visible solo para usuarios del grupo AD autorizado.
Auditoría de operaciones:
El sistema registra automáticamente cada operación de procesamiento con los siguientes campos:
- Usuario que ejecutó la operación
- Fecha y hora (timestamp)
- Canal de acceso (Portal web / Teams / weConnect)
- Agente utilizado
- Documento de entrada procesado
- Documento de salida generado
- Resultado de la operación (éxito / error)
El Administrador accede a los registros de auditoría desde el dashboard de gobernanza (ver RQ.27).
TBD Discovery:
- Grupo AD específico para acceso a Métodos Analíticos</t>
  </si>
  <si>
    <t>RQ.06</t>
  </si>
  <si>
    <t>Pantalla Supervisión Métodos Analíticos</t>
  </si>
  <si>
    <t>Cuando un usuario con rol Administrador o usuario autorizado de supervisión del área de Métodos Analíticos accede a la pantalla de supervisión del Agente, el sistema muestra el listado de conversaciones realizadas con el agente.
Información del listado:
- Usuario que ejecutó la conversación
- Fecha y hora
- Documento procesado
- Estado del resultado (completado / en curso / con errores)
Al seleccionar una conversación, el sistema visualiza:
- Historial completo de intercambios (consulta usuario → respuesta agente)
- Documento base procesado (con opción de descarga)
- Resultados de extracción generados
Filtros disponibles: rango de fechas, usuario, documento procesado, estado del resultado.
Funcionalidad complementaria: El supervisor puede exportar el listado filtrado para análisis offline.
Esta pantalla permite supervisión operativa y optimización iterativa del agente. Complementa la auditoría de operaciones del RQ.05.
TBD Discovery:
- Rol/grupo AD específico para supervisión de Métodos Analíticos
- Formato de exportación (CSV, Excel)</t>
  </si>
  <si>
    <t>RQ.07</t>
  </si>
  <si>
    <t>Refinamiento Iterativo de Resultados con el Agente</t>
  </si>
  <si>
    <r>
      <t xml:space="preserve">Cuando el agente genera el resultado inicial estructurado en los 8 apartados, el usuario puede continuar la conversación para refinar el resultado mediante lenguaje natural, sin necesidad de re-procesar el documento completo.
El sistema mantiene el contexto conversacional completo:
- Documento original procesado
- Extracciones previas por apartado
- Refinamientos realizados en la sesión
Esto permite ajustes iterativos como: corregir apartados específicos, resolver redundancias (ej. REAGENTS) o normalizar formatos variables (ej. EQUIPMENT).
Al finalizar los ajustes, el usuario descarga el documento actualizado (ver RQ.03).
</t>
    </r>
    <r>
      <rPr>
        <b/>
        <sz val="10"/>
        <color rgb="FF000000"/>
        <rFont val="Lora"/>
      </rPr>
      <t>Nota</t>
    </r>
    <r>
      <rPr>
        <sz val="10"/>
        <color rgb="FF000000"/>
        <rFont val="Lora"/>
      </rPr>
      <t>: Los apartados REAGENTS y EQUIPMENT presentaron mayor variabilidad en el PoC; el refinamiento conversacional mitiga estos casos.</t>
    </r>
  </si>
  <si>
    <t>PORTAL Y ACCESO (5 RQs)</t>
  </si>
  <si>
    <t>RQ.08</t>
  </si>
  <si>
    <t>Acceso y Seguridad</t>
  </si>
  <si>
    <t>Acceso sin credenciales adicionales</t>
  </si>
  <si>
    <t>Cuando un empleado de Esteve accede al Portal de Agentes IA desde cualquier canal (Microsoft Teams o weConnect), el sistema debe permitir el acceso sin solicitar credenciales adicionales, aprovechando la autenticación única (SSO) con Microsoft Entra ID ya configurada en el entorno corporativo. El sistema debe reconocer automáticamente la identidad del usuario mediante su sesión activa de Microsoft 365, eliminando la necesidad de introducir usuario y contraseña adicionales.
El acceso debe integrarse con las políticas de seguridad empresariales existentes, incluyendo autenticación multifactor (MFA) si está configurada por Esteve y políticas de acceso condicional (Conditional Access) para garantizar que solo dispositivos corporativos gestionados o dispositivos que cumplan con las políticas de compliance pueden acceder al portal. Esto proporciona una experiencia de usuario sin fricciones manteniendo los estándares de seguridad empresariales.</t>
  </si>
  <si>
    <t>RQ.09</t>
  </si>
  <si>
    <t>Integración con Microsoft Teams y weConnect</t>
  </si>
  <si>
    <t>Cuando un empleado de Esteve necesita acceder al Portal de Agentes IA, el sistema debe estar disponible mediante dos canales principales de acceso corporativo: la aplicación de Microsoft Teams y la intranet corporativa weConnect.
Cuando el usuario accede desde Microsoft Teams, el sistema debe integrarse como aplicación nativa de Teams, aprovechando la sesión activa de Microsoft 365 del usuario sin solicitar credenciales adicionales (ver RQ.10). EL usuario localiza el portal mediante búsqueda de aplicaciones o mediante el catálogo de aplicaciones de Teams.
Cuando el usuario accede desde weConnect (intranet corporativa de Esteve), el sistema debe integrarse mediante iframe embebido o enlace directo, manteniendo igualmente la sesión SSO de Microsoft 365 sin requerir autenticación adicional.
Ambos canales proporcionan experiencia de usuario equivalente en funcionalidades core (acceso agentes, historial conversaciones, favoritos), aunque la interfaz se adapta al contenedor (ventana Teams vs navegador weConnect).</t>
  </si>
  <si>
    <t>RQ.10</t>
  </si>
  <si>
    <t>Sistema de roles con permisos diferenciados</t>
  </si>
  <si>
    <t>Cuando el sistema valida la identidad de un usuario autenticado, el sistema debe asignar automáticamente uno de tres roles funcionales según su pertenencia a grupos de Active Directory.
Cuando un usuario tiene rol de Usuario, el sistema debe permitir usar agentes disponibles según audiencias asignadas, consultar historial conversaciones propias, guardar prompts personales y marcar favoritos.
Cuando un usuario tiene rol de Gestor Agentes, el sistema debe habilitar además la creación de agentes contextuales mediante wizard autónomo, publicación/despublicación de agentes creados, configuración de audiencias (grupos AD) para agentes propios, y gestión de hasta 3 bibliotecas SharePoint como contextos.
Cuando un usuario tiene rol de Administrador, el sistema debe proporcionar control total de la plataforma incluyendo dashboards consumos/uso, configuración alertas presupuestarias, gestión centralizada de todos los agentes (edición, desactivación), y acceso completo a logs auditoría.</t>
  </si>
  <si>
    <t>RQ.11</t>
  </si>
  <si>
    <t>Navegación y UX</t>
  </si>
  <si>
    <t>Navegación y búsqueda de agentes en el portal</t>
  </si>
  <si>
    <t>Cuando un usuario accede al Portal de Agentes IA desde Microsoft Teams o desde la intranet corporativa weconnect, el sistema debe mostrar únicamente los agentes a los que tiene acceso según su pertenencia a grupos de Active Directory definidos como audiencias.
El sistema permite búsqueda activa de agentes por nombre y descripción, facilitando la localización rápida en catálogos extensos. 
El sistema permite ordenar el listado de agentes disponibles según diferentes criterios:
- Alfabético (A-Z, Z-A)
- Por uso reciente del usuario
- Por popularidad (agentes más utilizados globalmente)
Por defecto, el catálogo muestra los agentes ordenados alfabéticamente. El usuario selecciona el criterio de ordenación desde un selector visible en la cabecera del listado.
Cuando el usuario identifica agentes de uso frecuente, el sistema permite  marcarlos como favoritos para acceso rápido posterior. El sistema proporciona  acceso al historial completo de conversaciones personalizado de cada usuario, organizado cronológicamente y vinculado al agente correspondiente.</t>
  </si>
  <si>
    <t>TBD Discovery:
- Grupos Active Directory específicos por audiencia (ej: RD-Reactivos, IT-Administradores, All-Employees)
- Límite favoritos por usuario (¿ilimitados o máximo razonable?)</t>
  </si>
  <si>
    <t>RQ.12</t>
  </si>
  <si>
    <t>Ficha de Agente: Metadatos y Categorización</t>
  </si>
  <si>
    <t>Cuando el sistema muestre un agente en el catálogo del Portal, debe presentar información básica que facilite su comprensión y uso por parte del usuario.
La información básica a mostrar incluye: 
- Nombre del agente 
- Propietario (para agentes contextuales creados por Gestores) 
- Tipología 
- Descripción funcional 
- Contexto asociado (si aplica) 
- Modelo utilizado
Esta información es administrada mediante el Gestor de Agentes para agentes contextuales (RQ.23), y predefinida por IT para agentes genéricos y especializados.
El diseño visual del catálogo debe integrarse con la estética corporativa de weConnect en los aspectos básicos de la UI.</t>
  </si>
  <si>
    <t>RQ.13</t>
  </si>
  <si>
    <t>Soporte multiidioma</t>
  </si>
  <si>
    <t>Cuando un usuario accede al Portal de Agentes IA, el sistema debe permitir seleccionar el idioma de la interfaz de usuario entre 6 idiomas:
- Español (ES)
- Inglés (EN)
- Alemán (DE)
- Chino (ZH)
- Portugués (PT)
- Francés (FR).
Cuando el usuario selecciona un idioma, el sistema debe aplicar la traducción a todos los elementos de interfaz: menús de navegación, botones, etiquetas de campos, mensajes de error, tooltips, y textos estáticos del portal.
El sistema debe persistir la preferencia de idioma del usuario entre sesiones, almacenándola en su perfil de usuario. Si el usuario no ha seleccionado idioma previamente, el sistema debe aplicar el idioma default configurado por el Administrador (típicamente español para Esteve España).</t>
  </si>
  <si>
    <t>AGENTES IA (7 RQs)</t>
  </si>
  <si>
    <t>RQ.14</t>
  </si>
  <si>
    <t>Agentes IA</t>
  </si>
  <si>
    <t>Comportamiento base compartido por agentes genéricos</t>
  </si>
  <si>
    <t>Cuando un usuario interactúa con cualquiera de los 10 agentes genéricos del portal, el sistema proporciona capacidades conversacionales multiturno en lenguaje natural. El agente responde en el idioma de la consulta del usuario.
El sistema selecciona modelo según especialización del agente:
- 9 agentes generalistas (Consulta Abierta, Traducción, Redactor Corporativo, Consulta Documentos, Resumen Ejecutivo, Revisor Estilo, Preparación Reuniones, Generador URS, Redactor RFPs)
- 1 agente especializado (Researcher para investigación avanzada)
Los agentes genéricos operan SIN contexto corporativo empresarial, basando respuestas únicamente en capacidades del modelo de lenguaje. Esto los diferencia de agentes contextuales (RQ.21-26) que acceden a bibliotecas SharePoint específicas.
Cuando el agente genera documentos como salida (ejemplo: Redactor Corporativo), el usuario puede descargarlos (RQ.17).
Gestión de disponibilidad:
Cuando el sistema experimenta alta demanda, muestra un mensaje informativo al usuario y permite reintentar la operación. El portal muestra un aviso visible indicando que las respuestas de IA son orientativas y requieren validación del usuario.
TBDs Discovery:
- Prompts sistema predefinidos por agente
- Formato documentos salida (DOCX, .txt)
- Ubicación del disclaimer de IA (footer, modal inicial)</t>
  </si>
  <si>
    <t>TBD Discovery:
- Prompts sistema predefinidos exactos para cada agente genérico
- Formato entrega documentos salida (DOCX, PDF, Markdown)</t>
  </si>
  <si>
    <t>RQ.15</t>
  </si>
  <si>
    <t>Provisión de 10 agentes genéricos preconfigurados</t>
  </si>
  <si>
    <r>
      <rPr>
        <sz val="10"/>
        <color rgb="FF000000"/>
        <rFont val="Lora"/>
      </rPr>
      <t xml:space="preserve">Cuando se despliegue el Portal de Agentes IA en Release #3, el sistema debe incluir 10 agentes genéricos configurados para uso de los empleados Esteve (según audiencias definidas). Cada agente debe tener prompt del sistema específico validado y descripción funcional visible en catálogo portal.
</t>
    </r>
    <r>
      <rPr>
        <b/>
        <sz val="10"/>
        <color rgb="FF000000"/>
        <rFont val="Lora"/>
      </rPr>
      <t xml:space="preserve">Agentes incluidos:
</t>
    </r>
    <r>
      <rPr>
        <sz val="10"/>
        <color rgb="FF000000"/>
        <rFont val="Lora"/>
      </rPr>
      <t xml:space="preserve">1. Consulta Abierta - generalista sin especialización
2. Traducción - tono corporativo profesional
3. Consulta Documentos - análisis hasta 3 documentos
4. Redactor Corporativo - correos, comunicados, informes
5. Resumen Ejecutivo - extracción bullets claros de textos largos
6. Revisor Estilo/Calidad - gramática, claridad y tono
7. Preparación Reuniones - agendas, puntos clave
8. Generador URS - User Requirements Specifications
9. Redactor RFPs - Request for Proposals estructurados
</t>
    </r>
    <r>
      <rPr>
        <b/>
        <sz val="10"/>
        <color rgb="FF000000"/>
        <rFont val="Lora"/>
      </rPr>
      <t xml:space="preserve">Agente especializado:
</t>
    </r>
    <r>
      <rPr>
        <sz val="10"/>
        <color rgb="FF000000"/>
        <rFont val="Lora"/>
      </rPr>
      <t xml:space="preserve">10. Researcher - Investigación especializada avanzada
</t>
    </r>
    <r>
      <rPr>
        <b/>
        <sz val="10"/>
        <color rgb="FF000000"/>
        <rFont val="Lora"/>
      </rPr>
      <t>TBDs Discovery</t>
    </r>
    <r>
      <rPr>
        <sz val="10"/>
        <color rgb="FF000000"/>
        <rFont val="Lora"/>
      </rPr>
      <t xml:space="preserve">:
- </t>
    </r>
    <r>
      <rPr>
        <b/>
        <i/>
        <sz val="10"/>
        <color rgb="FFFF0000"/>
        <rFont val="Lora"/>
      </rPr>
      <t xml:space="preserve">Prompts sistema específicos por agente
</t>
    </r>
    <r>
      <rPr>
        <sz val="10"/>
        <color rgb="FF000000"/>
        <rFont val="Lora"/>
      </rPr>
      <t>- Audiencias por defecto (¿todos empleados o segmentado?)</t>
    </r>
  </si>
  <si>
    <r>
      <rPr>
        <b/>
        <sz val="10"/>
        <color rgb="FF000000"/>
        <rFont val="Lora"/>
      </rPr>
      <t>Diferenciación modelos</t>
    </r>
    <r>
      <rPr>
        <sz val="10"/>
        <color rgb="FF000000"/>
        <rFont val="Lora"/>
      </rPr>
      <t>: 9 agentes usan GPT-4o-mini (económico, suficiente tareas estándar). Solo Researcher usa GPT-4o (mayor capacidad investigación avanzada, mayor coste justificado por complejidad).</t>
    </r>
  </si>
  <si>
    <t>RQ.16</t>
  </si>
  <si>
    <t>Interacción conversacional con agentes IA</t>
  </si>
  <si>
    <t>El portal permite a los usuarios interactuar con los agentes mediante conversaciones en lenguaje natural.
Cuando el usuario envía una consulta, el sistema:
- Interpreta la consulta en lenguaje natural
- Genera respuesta basada en el modelo del agente (RQ.14)
- Muestra respuesta en formato conversacional
- Mantiene contexto conversacional multiturno
El sistema mantiene historial de conversaciones personalizado por usuario (persistido entre sesiones).
El agente Consulta Documentos permite adjuntar hasta 3 archivos simultáneos en formatos: Word, PDF, TXT, Excel, PPT, JPG, GIF, PNG.
Moderación de contenido:
El sistema aplica filtros en consultas y respuestas según políticas corporativas. Si detecta contenido que incumple las políticas (lenguaje inapropiado, información sensible, términos bloqueados), bloquea o redacta el contenido e informa al usuario.
TBDs Discovery:
- Límites historial: número conversaciones, retención temporal
- Gestión conversaciones: crear nueva, renombrar, eliminar, compartir
- Categorías de contenido a filtrar y términos bloqueados (definir con Compliance Esteve)</t>
  </si>
  <si>
    <t>TBD Discovery:
- Límites historial: conversaciones por usuario, retención temporal
- Memoria conversación: multiturno, referencias contextuales
- Gestión conversaciones: crear nueva, recuperar previa, compartir</t>
  </si>
  <si>
    <t>RQ.17</t>
  </si>
  <si>
    <t>Generación de documentos descargables como salida</t>
  </si>
  <si>
    <t>Cuando un agente genera contenido estructurado como resultado de la conversación, el sistema debe permitir al usuario descargar el resultado como documento.
Los agentes que generan documentos según propuesta incluyen:
- Redactor Corporativo
- Generador URS
- Redactor RFPs
- Métodos Analíticos
El formato de documento se definirá durante Discovery según tipo de agente. Para agente Métodos Analíticos, el formato será texto plano enriquecido según propuesta línea 159.
Cuando el usuario completa la conversación, el sistema debe proporcionar opción de descarga del documento generado.
TBDs Discovery:
- Formato descarga por tipo agente (definir en Discovery)</t>
  </si>
  <si>
    <t>TBD Discovery:
- Formatos descarga: DOCX editable, PDF, otros
- Preview antes descarga
- Templates corporativos Esteve (logos, headers, footers)
- Límites generación: tamaño máximo</t>
  </si>
  <si>
    <t>RQ.18</t>
  </si>
  <si>
    <t>Selección de prompts predefinidos</t>
  </si>
  <si>
    <r>
      <t xml:space="preserve">Cuando un usuario inicia una conversación con un agente, el sistema debe poner a disposición hasta 3 prompts predefinidos configurados para ese agente. El usuario puede seleccionar uno de estos prompts predefinidos o escribir consulta libre en lenguaje natural.
Para agentes genéricos (10 preconfigurados), los prompts predefinidos serán configurados durante el despliegue. La definición específica de estos prompts se trabajará en sesiones Discovery con equipos Esteve.
Para agentes contextuales (creados por Gestores vía wizard RQ-23), el sistema debe permitir configurar hasta 3 prompts predefinidos durante la creación del agente.
Los prompts predefinidos son independientes de la biblioteca de prompts personales del usuario (RQ-22), donde cada usuario almacena y recupera sus propios prompts creados.
</t>
    </r>
    <r>
      <rPr>
        <b/>
        <sz val="10"/>
        <rFont val="Lora"/>
      </rPr>
      <t>TBDs Discovery</t>
    </r>
    <r>
      <rPr>
        <sz val="10"/>
        <rFont val="Lora"/>
      </rPr>
      <t>:
- Contenido específico prompts por agente genérico (sesiones colaborativas Esteve) 
- Mecanismo selección prompt por usuario (UX definir en Discovery)
- Límites caracteres por prompt predefinido</t>
    </r>
  </si>
  <si>
    <t>RQ.19</t>
  </si>
  <si>
    <t>Sistema de agentes favoritos</t>
  </si>
  <si>
    <r>
      <t xml:space="preserve">Cuando un usuario identifica agentes de uso frecuente, el sistema debe permitir añadirlos a un listado personal de agentes favoritos para acceso rápido posterior.
Cada usuario mantiene su propio listado de favoritos independiente de otros usuarios. El sistema debe persistir la lista de favoritos del usuario entre sesiones.
Cuando el usuario accede al Portal, el sistema debe proporcionar acceso rápido a los agentes marcados como favoritos, facilitando inicio de conversación sin necesidad de buscar en catálogo completo.
El sistema debe permitir añadir agentes a favoritos desde el catálogo y eliminar agentes de la lista de favoritos.
</t>
    </r>
    <r>
      <rPr>
        <b/>
        <sz val="10"/>
        <color theme="1"/>
        <rFont val="Lora"/>
      </rPr>
      <t>TBDs Discovery</t>
    </r>
    <r>
      <rPr>
        <sz val="10"/>
        <color theme="1"/>
        <rFont val="Lora"/>
      </rPr>
      <t>: 
- Límite máximo favoritos por usuario 
- Mecanismo visualización favoritos (UX definir en sesiones)
- Mecanismo añadir/eliminar favoritos (UX definir en sesiones)</t>
    </r>
  </si>
  <si>
    <t>TBD Discovery:
- UX favoritos: sección destacada página principal, indicador visual catálogo
- Persistencia: entre sesiones, entre canales (Teams/weconnect)
- Límites: máximo favoritos por usuario
Gestión: añadir, eliminar, ordenación</t>
  </si>
  <si>
    <t>RQ.20</t>
  </si>
  <si>
    <t>Gestión de prompts personales</t>
  </si>
  <si>
    <r>
      <t xml:space="preserve">Cuando un usuario utiliza un prompt en una conversación con un agente, el sistema debe permitir guardar ese prompt en una biblioteca personal de prompts para reutilización futura.
Cada prompt guardado pertenece exclusivamente al usuario que lo creó. Solo el creador tiene acceso a sus prompts personales.
Cuando el usuario guarda un prompt, el sistema debe almacenar: título del prompt, descripción del prompt, y texto completo del prompt. El prompt se guarda en el idioma en que fue escrito por el usuario (un idioma por prompt).
El sistema debe permitir al usuario buscar en su biblioteca personal de prompts por descripción.
Cuando el usuario desea reutilizar un prompt guardado, el sistema debe proporcionar mecanismo para copiar el prompt desde la biblioteca a una conversación activa con un agente.
</t>
    </r>
    <r>
      <rPr>
        <b/>
        <sz val="10"/>
        <color theme="1"/>
        <rFont val="Lora"/>
      </rPr>
      <t>TBDs Discovery</t>
    </r>
    <r>
      <rPr>
        <sz val="10"/>
        <color theme="1"/>
        <rFont val="Lora"/>
      </rPr>
      <t>:
- Límite máximo prompts por usuario
- Mecanismo copia prompt a conversación (UX definir en sesiones)</t>
    </r>
  </si>
  <si>
    <t>TBD Discovery:
- UX: mostrar junto prompts predefinidos galería visual, diferenciación
- Gestión: editar, duplicar, eliminar
- Límite máximo prompts por usuario
- Organización: carpetas, etiquetas</t>
  </si>
  <si>
    <t>CITIZEN DEVELOPMENT (6 RQs)</t>
  </si>
  <si>
    <t>RQ.21</t>
  </si>
  <si>
    <t>Citizen Development</t>
  </si>
  <si>
    <t>Creación y gestión de agentes contextuales</t>
  </si>
  <si>
    <t>Cuando un usuario con rol Gestor de Agentes accede a la herramienta de creación de agentes, el sistema proporciona un wizard autónomo para crear agentes contextuales sin intervención IT.
Cuando el Gestor crea un agente contextual, el wizard solicita:
- nombre del agente, descripción, audiencia (grupos Active Directory)
- instrucciones (texto plano que predefine comportamiento)
- modelo de IA a utilizar (seleccionable entre los habilitados por el Administrador)
- hasta 3 prompts predefinidos (RQ.20)
- hasta 3 bibliotecas SharePoint como contexto (RQ.24).
El sistema permite al Gestor gestionar el ciclo de vida de sus agentes: publicar, despublicar, eliminar. La lista de agentes creados por el Gestor es accesible para administración.
El sistema ejecuta un flujo Power Automate diario que identifica agentes creados en las últimas 24h e informa vía email al Administrador con: agentes generados, propietarios, audiencias, contextos.
TBDs Discovery:
- Catálogo de modelos Azure OpenAI habilitados para selección en wizard
- Límites Gestor: máximo agentes creables, consumo tokens/mes</t>
  </si>
  <si>
    <t>TBD Discovery:
- Workflow aprobación: automático vs revisión manual Admin
- Límites Gestor: máximo agentes, tokens/mes</t>
  </si>
  <si>
    <t>RQ.22</t>
  </si>
  <si>
    <t>Configuración Contexto SharePoint</t>
  </si>
  <si>
    <r>
      <t xml:space="preserve">Cuando un Gestor de Agentes crea un agente contextual mediante wizard (RQ.23), el sistema debe permitir seleccionar hasta 3 bibliotecas de SharePoint específicas que actuarán como contexto documental del agente.
Los agentes contextuales se diferencian de los 10 agentes genéricos del portal en que los contextuales acceden a información corporativa específica de las bibliotecas SharePoint seleccionadas.
El sistema debe aplicar límites por agente contextual: máximo 2000 ficheros o 5GB de contenido total, lo que se alcance primero. Los formatos de documento soportados son: Word, PDF, texto plano, Excel, PowerPoint, JPG, Git y PNG, con tamaño máximo de 200MB por fichero individual.
Cuando un agente contextual alcanza los límites de 2000 ficheros o 5GB, el sistema debe generar alerta automática vía email al Gestor creador del agente, indicando necesidad de revisar contexto.
</t>
    </r>
    <r>
      <rPr>
        <b/>
        <sz val="10"/>
        <color theme="1"/>
        <rFont val="Lora"/>
      </rPr>
      <t>TBDs Discovery</t>
    </r>
    <r>
      <rPr>
        <sz val="10"/>
        <color theme="1"/>
        <rFont val="Lora"/>
      </rPr>
      <t>: 
- Mecanismo selección bibliotecas bibliotecas SharePoint en wizard 
- Validación permisos Gestor sobre bibliotecas seleccionadas</t>
    </r>
  </si>
  <si>
    <t>RQ.23</t>
  </si>
  <si>
    <t>Indexación y Refresco Contexto</t>
  </si>
  <si>
    <r>
      <t xml:space="preserve">Cuando un Gestor de Agentes configura contexto documental SharePoint (RQ.24), el sistema debe procesar e indexar el contenido de forma asíncrona, sin bloquear la finalización del wizard de creación del agente. 
El sistema debe implementar refresco automático del contexto con periodicidad parametrizable por el Administrador. La granularidad mínima de refresco es 1 vez al día según propuesta.
El procesamiento del contexto documental permite consultas semánticas durante conversaciones con el agente contextual. El tiempo de procesamiento varía según volumen de documentación indexada.
Cada agente contextual mantiene su contexto separado de otros agentes, evitando cruce de información entre agentes distintos.
</t>
    </r>
    <r>
      <rPr>
        <b/>
        <sz val="10"/>
        <color theme="1"/>
        <rFont val="Lora"/>
      </rPr>
      <t>TBDs Discovery</t>
    </r>
    <r>
      <rPr>
        <sz val="10"/>
        <color theme="1"/>
        <rFont val="Lora"/>
      </rPr>
      <t>:
- Opciones granularidad refresco disponibles (¿1 vez/día?) 
- ¿Indicadores progreso indexación visible a Gestor?</t>
    </r>
  </si>
  <si>
    <t>RQ.24</t>
  </si>
  <si>
    <t>Gestión Ciclo Vida y Control Agentes</t>
  </si>
  <si>
    <r>
      <t xml:space="preserve">Cuando un Gestor Agentes accede a la herramienta de gestión de agentes dentro del Portal, el sistema debe mostrar una lista de agentes creados por el usuario Gestor (y aquellos en los que otro usuario lo haya definido como Gestor) para su administración.
El sistema debe permitir ejecutar acciones básicas del ciclo de vida sobre los agentes gestionados:
</t>
    </r>
    <r>
      <rPr>
        <b/>
        <sz val="10"/>
        <color theme="1"/>
        <rFont val="Lora"/>
      </rPr>
      <t>Acciones Gestor</t>
    </r>
    <r>
      <rPr>
        <sz val="10"/>
        <color theme="1"/>
        <rFont val="Lora"/>
      </rPr>
      <t xml:space="preserve">: 
- Publicar: Hacer visible el agente a las audiencias definidas (grupos AD)
- Despublicar: Ocultar temporalmente el agente sin eliminarlo
- Eliminar: Borrar permanentemente el agente y su configuración
</t>
    </r>
    <r>
      <rPr>
        <b/>
        <sz val="10"/>
        <color theme="1"/>
        <rFont val="Lora"/>
      </rPr>
      <t>Acciones Administrador</t>
    </r>
    <r>
      <rPr>
        <sz val="10"/>
        <color theme="1"/>
        <rFont val="Lora"/>
      </rPr>
      <t xml:space="preserve">: Cuando los administradores necesiten controlar consumo de recursos Azure OpenAI, el sistema debe permitir deshabilitar puntualmente ciertos agentes para limitar su uso, actuando sobre alertas de consumo recibidas.
</t>
    </r>
    <r>
      <rPr>
        <b/>
        <sz val="10"/>
        <color theme="1"/>
        <rFont val="Lora"/>
      </rPr>
      <t>TBDs Discovery</t>
    </r>
    <r>
      <rPr>
        <sz val="10"/>
        <color theme="1"/>
        <rFont val="Lora"/>
      </rPr>
      <t>:
- UX lista agentes: tabla, cards, filtros disponibles
- Confirmación eliminación: modal, validación impacto usuarios activos
- Log auditoría: registro acciones ciclo vida para compliance</t>
    </r>
  </si>
  <si>
    <t>RQ.25</t>
  </si>
  <si>
    <t>Notificación Límites Contexto</t>
  </si>
  <si>
    <t>Cuando un agente contextual alcanza los límites máximos definidos por contexto, el sistema debe ejecutar dos acciones:
Comportamiento sistema:
1. Detener indexación: Dejar de indexar nueva documentación de las bibliotecas SharePoint asociadas
2. Notificar owner: Enviar correo electrónico automático al propietario (owner) del agente informando del límite alcanzado
La notificación permite al Gestor Agentes tomar decisiones sobre la gestión del contexto documental: revisar documentos indexados, eliminar contenido obsoleto, o solicitar ampliación de límites a Administrador si justificado.
TBDs Discovery:
- Contenido email: asunto, cuerpo, datos incluidos (agente, límite alcanzado)</t>
  </si>
  <si>
    <t>RQ.26</t>
  </si>
  <si>
    <t>Email Diario Admin Agentes Creados</t>
  </si>
  <si>
    <r>
      <t xml:space="preserve">Cuando se ejecuta el flujo programado de Power Automate una vez al día, el sistema debe enviar un email consolidado al Administrador de Agentes IA con un listado de todos los agentes creados en el entorno Citizen Development durante el período diario.
El email debe incluir información de los agentes generados y usuarios involucrados, detallando la misma información que se ha cargado al momento de la creación del Agente.
Este requirement implementa notificación diaria mediante Power Automate, permitiendo al Administrador supervisar la actividad de creación de agentes en el entorno Citizen Development.
Tecnologías: Power Automate (flujo programado)
</t>
    </r>
    <r>
      <rPr>
        <b/>
        <sz val="10"/>
        <color theme="1"/>
        <rFont val="Lora"/>
      </rPr>
      <t>TBDs Discovery</t>
    </r>
    <r>
      <rPr>
        <sz val="10"/>
        <color theme="1"/>
        <rFont val="Lora"/>
      </rPr>
      <t>: 
- Horario ejecución flujo diario (28:00 AM, fin día 23:00?) 
- Formato email: ¿tabla HTML, listado texto, archivo adjunto CSV? 
- Campos exactos email: nombre agente, propietario, audiencia, contexto, timestamp 
- Comportamiento si 0 agentes creados: ¿email vacío o sin envío?</t>
    </r>
  </si>
  <si>
    <t>DASHBOARDS Y GOBERNANZA (3 RQs)</t>
  </si>
  <si>
    <t>RQ.27</t>
  </si>
  <si>
    <t>Dashboards y Gobernanza</t>
  </si>
  <si>
    <t>Dashboard de Uso y Análisis de Adopción</t>
  </si>
  <si>
    <t>Cuando un administrador accede al dashboard de uso (Panel 2 del BI), el sistema debe mostrar métricas agregadas de adopción de la plataforma, complementando el dashboard de consumos (RQ.28 - Panel 1).
El dashboard debe proporcionar visibilidad de:
- Número de conversaciones agrupadas por agente (métricas agregadas)
- Total de accesos y usuarios activos por día
- Patrones de uso y popularidad de agentes
El dashboard debe permitir análisis mediante filtros:
- Temporal: Rango de fechas personalizado
- Organizativo: Unidad organizativa según estructura Active Directory de Esteve (Site, Location, Area, Departamento)
- Origen: SharePoint y Teams
Diferenciación de paneles: 
- RQ.27 (Uso): Foco adopción (engagement, patrones uso, popularidad agentes)
- RQ.28 (Consumos): Foco presupuestario (tokens, costes, alertas)
Nota técnica: Ambos paneles (Consumos + Uso) forman parte de la misma solución BI con paneles/pantallas diferenciados.</t>
  </si>
  <si>
    <t>RQ.28</t>
  </si>
  <si>
    <t>Dashboard de consumos de tokens y costes</t>
  </si>
  <si>
    <t>Cuando un usuario con rol Administrador accede al dashboard de consumos del portal, el sistema debe mostrar métricas detalladas para control presupuestario del modelo pay-per-use escalable.
El dashboard debe proporcionar visibilidad de:
- Consumo de tokens de entrada y salida agrupado por agente individual
- Consumo en € agrupado por agente
- Consumo por persona
El dashboard debe permitir análisis mediante filtros:
- Temporal: Rango de fechas personalizado
- Organizativo: Unidad organizativa según estructura Active Directory de Esteve (Site, Location, Area, Departamento)
- Origen: SharePoint y Teams
Separación Entornos: La propuesta especifica 2 recursos Azure AI Foundry distintos (Citizen Development + Métodos Analíticos). El dashboard debe permitir separar costes por entorno para presupuestos independientes.</t>
  </si>
  <si>
    <t>RQ.29</t>
  </si>
  <si>
    <t>Alertas de Consumo Azure AI Foundry</t>
  </si>
  <si>
    <t>Cuando el consumo de servicios Azure OpenAI alcance los límites configurados por Esteve, el sistema debe enviar alertas automáticas vía correo electrónico a los administradores del sistema utilizando alertas nativas de Azure Al Foundry no desarrolladas por Raona.
Cuando los administradores reciban una alerta de consumo, deben poder actuar en consecuencia, por ejemplo limitando el uso de ciertos agentes mediante su deshabilitación puntual.
El sistema debe generar alertas diferenciadas: una para los agentes del entorno Citizen Development y otra para el entorno Métodos Analíticos.
TBD Discovery:
Límites específicos por entorno (tokens/mes, €/mes, ambos)
Umbrales alertas (50%, 80%, 100% del límite)
Frecuencia verificación consumo (tiempo real, diaria, horaria)</t>
  </si>
  <si>
    <t>RQ.30</t>
  </si>
  <si>
    <t>Integración Purview Etiquetas Sensibilidad</t>
  </si>
  <si>
    <t>Si Esteve tiene implementado Microsoft Purview como solución de etiquetado de información sensible, el sistema debe permitir activar un control adicional en la ingesta de contextos documentales.
Cuando este control esté activado y el sistema procese documentos para indexación (RQ. 25 indexación y refresco contexto), debe vetar automáticamente documentos con ciertas etiquetas de sensibilidad configuradas (por ejemplo, "Confidencial") para que no formen parte de los contextos de agentes.
Esta funcionalidad es CONDICIONAL: solo aplica si Esteve ya utiliza Purview activamente para clasificar documentos. La integración evita que información especialmente sensible alimente a la IA por error y se integra con el gobierno del dato existente.
Tecnologías: Microsoft Purview (si implementado por Esteve)
TBDs Discovery: 
- Esteve tiene Purview implementado: ¿sí/no? 
- Etiquetas sensibilidad a vetar: lista configurada por Admin 
- Comportamiento veto: bloqueo silencioso vs notificación Gestor agente</t>
  </si>
  <si>
    <t>RQ.32</t>
  </si>
  <si>
    <t>RQ.33</t>
  </si>
  <si>
    <t>RQ.34</t>
  </si>
  <si>
    <t>RQ.35</t>
  </si>
  <si>
    <t>RQ.36</t>
  </si>
  <si>
    <t>RQ.37</t>
  </si>
  <si>
    <t>RQ.38</t>
  </si>
  <si>
    <t>RQ.39</t>
  </si>
  <si>
    <t>RQ.40</t>
  </si>
  <si>
    <t>RQ.41</t>
  </si>
  <si>
    <t>RQ.42</t>
  </si>
  <si>
    <t>RQ.43</t>
  </si>
  <si>
    <t>RQ.44</t>
  </si>
  <si>
    <t>RQ.45</t>
  </si>
  <si>
    <t>RQ.46</t>
  </si>
  <si>
    <t>RQ.47</t>
  </si>
  <si>
    <t>RQ.48</t>
  </si>
  <si>
    <t>RQ.49</t>
  </si>
  <si>
    <t>RQ.50</t>
  </si>
  <si>
    <t>RQ.51</t>
  </si>
  <si>
    <t>Solution Feature List</t>
  </si>
  <si>
    <r>
      <rPr>
        <b/>
        <i/>
        <sz val="10"/>
        <color theme="1"/>
        <rFont val="Aptos"/>
        <family val="2"/>
      </rPr>
      <t>Funcionalidades</t>
    </r>
    <r>
      <rPr>
        <i/>
        <sz val="10"/>
        <color theme="1"/>
        <rFont val="Aptos"/>
        <family val="2"/>
      </rPr>
      <t>: características concretas de la solución final para que el equipo de desarrollo pueda implementarla adecuadamente y poder validarla mediante UATs con los interlocutores del cliente.</t>
    </r>
  </si>
  <si>
    <t>User Story</t>
  </si>
  <si>
    <t>Component</t>
  </si>
  <si>
    <t>FT.01</t>
  </si>
  <si>
    <t>Agente Métodos Analíticos</t>
  </si>
  <si>
    <t>Desarrollo Agente Especializado</t>
  </si>
  <si>
    <t>Cuando el usuario autorizado accede al Agente Métodos Analíticos desde cualquiera de los canales habilitados (Microsoft Teams o weConnect) y selecciona la opción de procesar documento, el sistema permite la carga de archivos de métodos analíticos químicos procedentes en hasta 100 variaciones de formato distintas.
El sistema valida que el formato del archivo cargado es compatible con el tipo soportado (PDF) y que el tamaño no excede límites (aplica el límite de 200MB de agentes contextuales). 
Una vez validado el archivo, la carga se integra automáticamente con Azure AI Document Intelligence para el posterior procesamiento estructurado del documento.
Los documentos procesados corresponden a métodos analíticos químicos que contienen información técnica estructurada en apartados específicos (objetivo, reactivos, equipamiento, condiciones cromatográficas, preparación de muestras, secuencia de inyección, sistema de idoneidad y cálculos).</t>
  </si>
  <si>
    <t>Agentes</t>
  </si>
  <si>
    <t>FT.02</t>
  </si>
  <si>
    <t>PoC análisis prompting + pruebas</t>
  </si>
  <si>
    <t>Cuando el usuario carga un documento de método analítico químico y solicita procesarlo, el sistema extrae la información organizada en 8 apartados especializados. Esta estructura fue validada en el PoC realizado por Esteve con Tokiota.
Apartados a extraer:
- AIM - Objetivo del método
- REAGENTS - Reactivos y calidades
- EQUIPMENT - Instrumentos utilizados
- CHROMATOGRAPHIC CONDITIONS - Fases móviles y condiciones
- SAMPLE AND STANDARD PREPARATION - Preparación de muestras
- INJECTION SEQUENCE - Secuencia de inyecciones
- SYSTEM SUITABILITY - Parámetros de idoneidad
- CALCULATIONS - Criterios de cálculo
El sistema utiliza prompts especializados validados en el PoC que alcanzaron tasas de éxito del 93.5% con GPT-4o y 98.4% con Phi-4 sobre documentos reales de múltiples proveedores. 
(Se producirá reevaluación para confirmar tasa de éxito)</t>
  </si>
  <si>
    <t>FT.02B</t>
  </si>
  <si>
    <t>Cuando el sistema completa la extracción de los 8 apartados (FT.02), el usuario visualiza los resultados obtenidos.
El sistema replica el proceso validado en el PoC de ESTEVE utilizando los prompts predefinidos. Los resultados pueden variar según la estructura y formato del documento origen de cada cliente.
El usuario revisa los apartados extraídos. Si detecta información que requiere ajuste, el sistema ofrece mecanismos para corregirlo (ver FT.07).
Comments (contexto técnico interno):
PoC Tokiota identificó variabilidad en ciertos apartados:
- REAGENTS: posible redundancia en algunos documentos
- EQUIPMENT: formatos variables según proveedor</t>
  </si>
  <si>
    <t>FT.03</t>
  </si>
  <si>
    <t>Generación de Output Estructurado</t>
  </si>
  <si>
    <t>Cuando el usuario solicita procesar un documento de método analítico, el sistema extrae la información de los 8 apartados y genera un documento de salida en formato texto plano con estructura enriquecida basada en los resultados de PoC Tokiota.
Estructura del documento generado:
- Cabeceras jerárquicas por apartado (AIM, REAGENTS, EQUIPMENT, etc.)
- Fórmulas químicas como texto (ejemplo: H₂O)
- Secciones y sub-secciones indicadas mediante cabeceras
El usuario descarga el documento generado desde la interfaz conversacional
TBD Discovery: ¿documentos de método analítico de ejemplo para realizar pruebas?</t>
  </si>
  <si>
    <t>FT.04</t>
  </si>
  <si>
    <t>Procesamiento de Múltiples Ficheros</t>
  </si>
  <si>
    <t>Cuando el usuario carga múltiples documentos de métodos analíticos, el sistema procesa cada documento de forma escalable.
El sistema soporta hasta 100 variaciones de formato documental de diferentes clientes (tipos de documento entrenados en el modelo).
Tecnologías:
- Azure AI Document Intelligence (OCR y procesamiento)
- Azure AI Foundry (extracción con prompts especializados)
El consumo de recursos se factura según uso real (modelo pay-per-use). El usuario con rol Administrador monitoriza el consumo y presupuesto en tiempo real desde el dashboard de consumos (FT.28).</t>
  </si>
  <si>
    <t>FT.05</t>
  </si>
  <si>
    <t xml:space="preserve">Control de Acceso Restringido </t>
  </si>
  <si>
    <t>Cuando un usuario accede al Portal, el sistema muestra únicamente los agentes para los que está autorizado según su pertenencia a grupos de Active Directory.
El Agente Métodos Analíticos es visible solo para usuarios del grupo AD autorizado.
TBD Discovery:
- Grupo AD específico para acceso al Agente Métodos Analíticos</t>
  </si>
  <si>
    <t>FT.06</t>
  </si>
  <si>
    <t>Desarrollo Visor de interacciones</t>
  </si>
  <si>
    <t>Pantalla Supervisión Agente Métodos Analíticos</t>
  </si>
  <si>
    <t>Cuando un usuario con rol Administrador Funcional o supervisor autorizado del área del Agente Métodos Analíticos accede a la pantalla de supervisión del Agente, el sistema muestra el listado de conversaciones realizadas con el agente.
Información del listado:
- Usuario que ejecutó la conversación
- Fecha y hora
- Documento procesado
Al seleccionar una conversación, el sistema muestra:
- Historial completo de intercambios (consulta usuario → respuesta agente)
- Documento base procesado (con opción de descarga)
- Resultados de extracción generados (output)
Filtros disponibles: rango de fechas, usuario, documento procesado.
TBD Discovery:
- Rol/grupo AD específico para supervisión del Agente Métodos Analíticos</t>
  </si>
  <si>
    <t>FT.07</t>
  </si>
  <si>
    <t>Cuando el agente genera el resultado inicial estructurado en los 8 apartados, el usuario puede continuar la conversación para refinar el resultado mediante lenguaje natural, sin necesidad de re-procesar el documento completo.
El sistema mantiene el contexto conversacional:
- Documento original procesado
- Refinamientos realizados
Esto permite ajustes como: corregir información de un apartado específico, eliminar redundancias o normalizar formatos variables (Ver FT.02B)
Al finalizar los ajustes, el usuario descarga el documento actualizado (ver FT.03).</t>
  </si>
  <si>
    <t>FT.08</t>
  </si>
  <si>
    <t>Configuración Portal de Agentes IA</t>
  </si>
  <si>
    <t>Cuando un empleado de Esteve accede al Portal de Agentes IA desde cualquier canal (Microsoft Teams o weConnect), el sistema permite el acceso sin solicitar credenciales adicionales, aprovechando la autenticación única (SSO) con Microsoft Entra ID ya configurada en el entorno corporativo.
El sistema reconoce automáticamente la identidad del usuario mediante su sesión activa de Microsoft 365, eliminando la necesidad de introducir usuario y contraseña adicionales.
El acceso se integra con las políticas de seguridad empresariales existentes. Esto proporciona una experiencia de usuario sin fricciones manteniendo los estándares de seguridad empresariales.</t>
  </si>
  <si>
    <t>Portal</t>
  </si>
  <si>
    <t>FT.09</t>
  </si>
  <si>
    <t>Cuando un empleado de Esteve necesita acceder al Portal de Agentes IA, el sistema está disponible mediante dos canales principales de acceso corporativo: la aplicación de Microsoft Teams y la intranet corporativa weConnect.
Cuando el usuario accede desde Microsoft Teams, el sistema se integra como aplicación nativa de Teams, aprovechando la sesión activa de Microsoft 365 del usuario sin solicitar credenciales adicionales (ver FT.08). El usuario localiza el portal mediante búsqueda de aplicaciones o mediante el catálogo de aplicaciones de Teams.
Cuando el usuario accede desde weConnect (intranet corporativa de Esteve), el sistema se integra mediante iframe embebido o enlace directo, manteniendo igualmente la sesión SSO de Microsoft 365 sin requerir autenticación adicional.
Ambos canales proporcionan experiencia de usuario equivalente en funcionalidades core (acceso agentes, historial conversaciones, favoritos), aunque la interfaz se adapta al contenedor (ventana Teams vs navegador weConnect).</t>
  </si>
  <si>
    <t>FT.10</t>
  </si>
  <si>
    <t>Cuando el sistema valida la identidad de un usuario autenticado, el sistema detecta automáticamente uno de tres roles funcionales según su pertenencia a grupos de Active Directory.
Cuando un usuario tiene rol de User, el sistema permite usar agentes disponibles según audiencias asignadas, consultar historial conversaciones propias, guardar prompts personales y marcar favoritos.
Cuando un usuario tiene rol de Gestor Agentes, el sistema habilita además la creación de agentes contextuales mediante wizard autónomo, publicación/despublicación de agentes creados, configuración de audiencias (grupos AD) para agentes propios, y gestión de hasta 3 bibliotecas SharePoint como contextos por agente.
Cuando un usuario tiene rol de Administrador, el sistema proporciona control total de la plataforma incluyendo dashboards consumos/uso, configuración alertas presupuestarias, gestión centralizada de todos los agentes (edición, desactivación), y acceso completo a logs auditoría.</t>
  </si>
  <si>
    <t>FT.11</t>
  </si>
  <si>
    <t>Cuando un usuario accede al Portal de Agentes IA desde Microsoft Teams o desde la intranet corporativa weconnect, el sistema muestra únicamente los agentes a los que tiene acceso según su pertenencia a grupos de Active Directory definidos como audiencias.
El sistema permite búsqueda activa de agentes por nombre, facilitando la localización rápida en catálogos extensos.
Por defecto, el catálogo muestra los agentes ordenados alfabéticamente. El usuario selecciona el criterio de ordenación desde un selector visible en la cabecera del listado.
Cuando el usuario identifica agentes de uso frecuente, el sistema permite marcarlos como favoritos para acceso rápido posterior. El sistema proporciona acceso al historial completo de conversaciones personalizado de cada usuario, organizado cronológicamente y vinculado al agente correspondiente.</t>
  </si>
  <si>
    <t>FT.12</t>
  </si>
  <si>
    <t>Cuando el sistema muestra un agente en el catálogo del Portal, presenta información básica que facilita su comprensión y uso por parte del usuario.
La información básica a mostrar incluye:
- Nombre del agente
- Tipología
- Descripción funcional
- Contexto asociado (si aplica)
- Modelo utilizado
Esta información es administrada mediante el Gestor de Agentes para agentes contextuales (FT.21), y predefinida por IT para agentes genéricos y especializados.
El diseño visual del catálogo se integra con la estética corporativa de weConnect en los aspectos básicos de la UI.</t>
  </si>
  <si>
    <t>FT.13</t>
  </si>
  <si>
    <t>FT.14</t>
  </si>
  <si>
    <t>FT.15</t>
  </si>
  <si>
    <r>
      <t xml:space="preserve">Cuando se despliega el Portal de Agentes IA en Release #3, el sistema incluye 10 agentes genéricos configurados para uso de los empleados Esteve (según audiencias definidas). Cada agente tiene prompt del sistema específico validado y descripción funcional visible en catálogo portal.
</t>
    </r>
    <r>
      <rPr>
        <b/>
        <sz val="9"/>
        <color theme="1"/>
        <rFont val="Aptos"/>
      </rPr>
      <t>Agentes genéricos incluidos</t>
    </r>
    <r>
      <rPr>
        <sz val="9"/>
        <color theme="1"/>
        <rFont val="Aptos"/>
      </rPr>
      <t xml:space="preserve">
1. </t>
    </r>
    <r>
      <rPr>
        <b/>
        <sz val="9"/>
        <color theme="1"/>
        <rFont val="Aptos"/>
      </rPr>
      <t>Consulta Abierta</t>
    </r>
    <r>
      <rPr>
        <sz val="9"/>
        <color theme="1"/>
        <rFont val="Aptos"/>
      </rPr>
      <t xml:space="preserve"> - generalista sin especialización (modelo básico)
2. </t>
    </r>
    <r>
      <rPr>
        <b/>
        <sz val="9"/>
        <color theme="1"/>
        <rFont val="Aptos"/>
      </rPr>
      <t>Researcher</t>
    </r>
    <r>
      <rPr>
        <sz val="9"/>
        <color theme="1"/>
        <rFont val="Aptos"/>
      </rPr>
      <t xml:space="preserve"> - investigación avanzada (modelo avanzado)
3. </t>
    </r>
    <r>
      <rPr>
        <b/>
        <sz val="9"/>
        <color theme="1"/>
        <rFont val="Aptos"/>
      </rPr>
      <t>Traducción</t>
    </r>
    <r>
      <rPr>
        <sz val="9"/>
        <color theme="1"/>
        <rFont val="Aptos"/>
      </rPr>
      <t xml:space="preserve"> - tono corporativo profesional (modelo básico)
4. </t>
    </r>
    <r>
      <rPr>
        <b/>
        <sz val="9"/>
        <color theme="1"/>
        <rFont val="Aptos"/>
      </rPr>
      <t>Consulta Documentos</t>
    </r>
    <r>
      <rPr>
        <sz val="9"/>
        <color theme="1"/>
        <rFont val="Aptos"/>
      </rPr>
      <t xml:space="preserve"> - análisis hasta 3 documentos (modelo básico)
5. </t>
    </r>
    <r>
      <rPr>
        <b/>
        <sz val="9"/>
        <color theme="1"/>
        <rFont val="Aptos"/>
      </rPr>
      <t>Redactor Corporativo</t>
    </r>
    <r>
      <rPr>
        <sz val="9"/>
        <color theme="1"/>
        <rFont val="Aptos"/>
      </rPr>
      <t xml:space="preserve"> - correos, comunicados, informes (modelo básico)
6. </t>
    </r>
    <r>
      <rPr>
        <b/>
        <sz val="9"/>
        <color theme="1"/>
        <rFont val="Aptos"/>
      </rPr>
      <t>Resumen Ejecutivo</t>
    </r>
    <r>
      <rPr>
        <sz val="9"/>
        <color theme="1"/>
        <rFont val="Aptos"/>
      </rPr>
      <t xml:space="preserve"> - extracción bullets claros de textos largos (modelo básico)
7. </t>
    </r>
    <r>
      <rPr>
        <b/>
        <sz val="9"/>
        <color theme="1"/>
        <rFont val="Aptos"/>
      </rPr>
      <t>Revisor Estilo/Calidad</t>
    </r>
    <r>
      <rPr>
        <sz val="9"/>
        <color theme="1"/>
        <rFont val="Aptos"/>
      </rPr>
      <t xml:space="preserve"> - gramática, claridad y tono (modelo básico)
8. </t>
    </r>
    <r>
      <rPr>
        <b/>
        <sz val="9"/>
        <color theme="1"/>
        <rFont val="Aptos"/>
      </rPr>
      <t>Preparación Reuniones</t>
    </r>
    <r>
      <rPr>
        <sz val="9"/>
        <color theme="1"/>
        <rFont val="Aptos"/>
      </rPr>
      <t xml:space="preserve"> - agendas, puntos clave (modelo básico)
9. </t>
    </r>
    <r>
      <rPr>
        <b/>
        <sz val="9"/>
        <color theme="1"/>
        <rFont val="Aptos"/>
      </rPr>
      <t>Generador URS</t>
    </r>
    <r>
      <rPr>
        <sz val="9"/>
        <color theme="1"/>
        <rFont val="Aptos"/>
      </rPr>
      <t xml:space="preserve"> - User Requirements Specifications (modelo avanzado)
10. </t>
    </r>
    <r>
      <rPr>
        <b/>
        <sz val="9"/>
        <color theme="1"/>
        <rFont val="Aptos"/>
      </rPr>
      <t>Redactor RFPs</t>
    </r>
    <r>
      <rPr>
        <sz val="9"/>
        <color theme="1"/>
        <rFont val="Aptos"/>
      </rPr>
      <t xml:space="preserve"> - Request for Proposals estructurados (modelo avanzado)
TBDs Discovery
- Prompts sistema específicos por agente
- Orden visualización agentes en catálogo: temporal + uso</t>
    </r>
  </si>
  <si>
    <t>FT.16</t>
  </si>
  <si>
    <t>FT.17</t>
  </si>
  <si>
    <t>FT.18</t>
  </si>
  <si>
    <t>FT.19</t>
  </si>
  <si>
    <t>Cuando un usuario identifica agentes de uso frecuente, el sistema permite añadirlos a un listado personal de agentes favoritos para acceso rápido posterior.
Cada usuario mantiene su propio listado de favoritos independiente de otros usuarios. El sistema persiste la lista de favoritos del usuario entre sesiones.
Cuando el usuario accede al Portal, el sistema proporciona acceso rápido a los agentes marcados como favoritos, facilitando inicio de conversación sin necesidad de buscar en catálogo completo.
El sistema permite añadir agentes a favoritos desde el catálogo y eliminar agentes de la lista de favoritos.</t>
  </si>
  <si>
    <t>FT.20</t>
  </si>
  <si>
    <t>Desarrollo Biblioteca Personal de Prompts</t>
  </si>
  <si>
    <r>
      <rPr>
        <b/>
        <sz val="9"/>
        <color theme="1"/>
        <rFont val="Aptos"/>
      </rPr>
      <t>Funcionalidad General</t>
    </r>
    <r>
      <rPr>
        <sz val="9"/>
        <color theme="1"/>
        <rFont val="Aptos"/>
      </rPr>
      <t xml:space="preserve">
Cuando un usuario utiliza un prompt en una conversación con un agente, el sistema permite guardar ese prompt en una biblioteca personal de prompts para reutilización futura. Cada prompt guardado pertenece exclusivamente al usuario que lo creó. Solo el creador tiene acceso a sus prompts personales.
</t>
    </r>
    <r>
      <rPr>
        <b/>
        <sz val="9"/>
        <color theme="1"/>
        <rFont val="Aptos"/>
      </rPr>
      <t>Datos Almacenados</t>
    </r>
    <r>
      <rPr>
        <sz val="9"/>
        <color theme="1"/>
        <rFont val="Aptos"/>
      </rPr>
      <t xml:space="preserve">
Cuando el usuario guarda un prompt, el sistema almacena:
- Título del prompt
- Descripción del prompt
- Texto completo del prompt
El prompt se guarda en el idioma en que fue escrito por el usuario (un idioma por prompt).
</t>
    </r>
    <r>
      <rPr>
        <b/>
        <sz val="9"/>
        <color theme="1"/>
        <rFont val="Aptos"/>
      </rPr>
      <t>Búsqueda y Reutilización</t>
    </r>
    <r>
      <rPr>
        <sz val="9"/>
        <color theme="1"/>
        <rFont val="Aptos"/>
      </rPr>
      <t xml:space="preserve">
- El sistema permite al usuario buscar en su biblioteca personal de prompts por descripción.
- Cuando el usuario desea reutilizar un prompt guardado, el sistema proporciona mecanismo para copiar el prompt desde la biblioteca a una conversación activa con un agente.</t>
    </r>
  </si>
  <si>
    <t>FT.21</t>
  </si>
  <si>
    <t>Configuración Wizard Creación de Agentes</t>
  </si>
  <si>
    <t>FT.22</t>
  </si>
  <si>
    <t>FT.23</t>
  </si>
  <si>
    <t>Cuando un Gestor de Agentes configura contexto documental SharePoint (FT.22), el sistema procesa e indexa el contenido de forma asíncrona. El tiempo de procesamiento varía según volumen de documentación indexada.
El sistema implementa refresco automático del contexto con periodicidad configurable. La granularidad mínima de refresco es 1 vez al día según propuesta.
Este proceso permite consultas relacionadas con la documentación de contexto durante conversaciones. Cada agente contextual mantiene su contexto separado de otros agentes, evitando cruce de información entre agentes distintos.</t>
  </si>
  <si>
    <t>Infraestructura</t>
  </si>
  <si>
    <t>FT.24</t>
  </si>
  <si>
    <r>
      <rPr>
        <sz val="9"/>
        <color rgb="FF000000"/>
        <rFont val="Aptos"/>
      </rPr>
      <t xml:space="preserve">Cuando un Gestor Agentes accede a la herramienta de creación dentro del Portal, el sistema muestra una lista de agentes creados por el usuario Gestor. También de aquellos en los que otro usuario lo haya definido como Gestor.
El sistema permite ejecutar acciones básicas del ciclo de vida sobre los agentes gestionados:
</t>
    </r>
    <r>
      <rPr>
        <b/>
        <sz val="9"/>
        <color rgb="FF000000"/>
        <rFont val="Aptos"/>
      </rPr>
      <t>Acciones Gestor</t>
    </r>
    <r>
      <rPr>
        <sz val="9"/>
        <color rgb="FF000000"/>
        <rFont val="Aptos"/>
      </rPr>
      <t xml:space="preserve">:
- Publicar: Hacer visible el agente a las audiencias definidas (grupos AD)
</t>
    </r>
    <r>
      <rPr>
        <sz val="9"/>
        <color theme="1"/>
        <rFont val="Aptos"/>
      </rPr>
      <t>- Editar: Mediante un formulario puede editar la información básica como nombre, propietario, tipología, descripción, contexto y modelo usado</t>
    </r>
    <r>
      <rPr>
        <sz val="9"/>
        <color rgb="FFED7D31"/>
        <rFont val="Aptos"/>
      </rPr>
      <t xml:space="preserve">
</t>
    </r>
    <r>
      <rPr>
        <sz val="9"/>
        <color rgb="FF000000"/>
        <rFont val="Aptos"/>
      </rPr>
      <t xml:space="preserve">- Eliminar: Borrar permanentemente el agente y su configuración
</t>
    </r>
    <r>
      <rPr>
        <b/>
        <sz val="9"/>
        <color rgb="FF000000"/>
        <rFont val="Aptos"/>
      </rPr>
      <t>Acciones Administrador</t>
    </r>
    <r>
      <rPr>
        <sz val="9"/>
        <color rgb="FF000000"/>
        <rFont val="Aptos"/>
      </rPr>
      <t>: Cuando los administradores necesitan controlar consumo de recursos Azure OpenAI, el sistema permite deshabilitar puntualmente ciertos agentes para limitar su uso, actuando sobre alertas de consumo recibidas.</t>
    </r>
  </si>
  <si>
    <t>FT.25</t>
  </si>
  <si>
    <t>Generación de alertas</t>
  </si>
  <si>
    <t>FT.26</t>
  </si>
  <si>
    <t>Email Diario Administrador Agentes IA</t>
  </si>
  <si>
    <t>El sistema implementa un flujo programado de Power Automate que identifica los agentes creados diariamente en el entorno Citizen Development e informa vía email al Administrador.
El email incluye los agentes generados y los usuarios involucrados, detallando la misma información de creación de cada agente (nombre, rol y modelo usado según formulario de creación definido en la propuesta).
Esta feature permite al Administrador supervisar la actividad de creación de agentes mediante una notificación diaria consolidada, facilitando el control de gobernanza sobre el entorno Citizen Development.
Tecnología: Power Automate (flujo programado con trigger diario)</t>
  </si>
  <si>
    <t>FT.27</t>
  </si>
  <si>
    <t>Desarrollo Power BI de Control de Consumo</t>
  </si>
  <si>
    <t>Dashboard de Uso</t>
  </si>
  <si>
    <t>Cuando un administrador accede al dashboard de uso (Panel 2 del BI), el sistema muestra métricas agregadas de adopción de la plataforma, complementando el dashboard de consumos (FT.28 - Panel 1).
El dashboard proporciona visibilidad de:
- Número de conversaciones agrupadas por agente (métricas agregadas)
- Total de accesos y usuarios activos por día
- Consumo por usuario
El dashboard permite análisis mediante filtros:
- Temporal: Rango de fechas
- Origen: SharePoint y Teams
- Unidad organizativa del empleado (Site / Location / Area / Departamento)
Diferenciación de paneles:
- FT.27 (Uso): Foco adopción (engagement, patrones uso, popularidad agentes)
- FT.28 (Consumos): Foco presupuestario (tokens, costes, alertas)
Nota técnica: Ambos paneles (Consumos + Uso) forman parte de la misma solución BI y comparten la misma estructura de filtros con paneles/pantallas diferenciados.</t>
  </si>
  <si>
    <t>FT.28</t>
  </si>
  <si>
    <t>Cuando un usuario con rol Administrador accede al dashboard de consumos, el Power BI muestra métricas detalladas de coste y uso de la plataforma de Agentes IA para control presupuestario del modelo pay-per-use.
El dashboard proporciona visibilidad de consumos agrupados por:
- Agente: Tokens de entrada/salida consumidos + coste en euros por agente individual
- Persona: Consumo acumulado por usuario
- Unidad organizativa: Consumo por Site, Location, Area o Departamento (estructura Active Directory de Esteve)
El dashboard permite análisis mediante filtros:
- Temporal: Rango de fechas personalizado (inicio/fin)
- Organizativo: Unidad organizativa según jerarquía AD (Site, Location, Area, Departamento)
- Origen: SharePoint o Teams (punto de acceso del usuario)
Este dashboard es crítico para:
- Identificar agentes con consumo anómalo o excesivo
- Detectar usuarios que requieren formación en optimización de prompts
- Analizar departamentos con necesidades de ajuste presupuestario
- Tomar decisiones basadas en datos reales de adopción y coste</t>
  </si>
  <si>
    <t>FT.29</t>
  </si>
  <si>
    <t>Notificaciones de Consumo Azure AI Foundry</t>
  </si>
  <si>
    <r>
      <t xml:space="preserve">Cuando el consumo de servicios Azure OpenAI alcanza los </t>
    </r>
    <r>
      <rPr>
        <b/>
        <sz val="9"/>
        <color theme="1"/>
        <rFont val="Aptos"/>
      </rPr>
      <t>límites definidos por Esteve</t>
    </r>
    <r>
      <rPr>
        <sz val="9"/>
        <color theme="1"/>
        <rFont val="Aptos"/>
      </rPr>
      <t>, el sistema envía alertas automáticas vía correo electrónico a los administradores utilizando alertas nativas de Azure Monitoring (servicio nativo de Azure Monitoring configurado durante el despliegue inicial).
Cuando los administradores reciben una alerta de consumo, pueden actuar en consecuencia limitando el uso de ciertos agentes mediante su deshabilitación puntual (ejemplos: agente con consumo anómalo).
El sistema genera alertas diferenciadas: una para los agentes del entorno Citizen Development y otra para el entorno Método Analítico (Reactivos Químicos), reflejando el aislamiento técnico de ambos entornos con recursos Azure independientes.
TBDs Discovery:
- Límites de alerta por entorno: Esteve especificará umbrales (€/mes, tokens/mes, o combinación) durante sesión Discovery
- Destinatarios emails: grupos Active Directory (segregación accesos)</t>
    </r>
  </si>
  <si>
    <t>FT.30</t>
  </si>
  <si>
    <t>Si Esteve tiene implementado Microsoft Purview como solución de etiquetado de información sensible, el sistema permite activar un control adicional en la ingesta de contextos documentales. Esta funcionalidad es CONDICIONAL: solo se implementa si Purview está actualmente activo en el entorno del cliente.
Cuando este control está activado y el sistema procesa documentos SharePoint para indexación (FT.23), el pipeline de ingesta veta automáticamente documentos marcados con etiquetas de sensibilidad configuradas (ejemplo propuesta: "Confidencial 1") antes de que formen parte de los contextos de agentes.
Los documentos vetados NO se indexan y NO son accesibles para consultas de IA, actuando como capa preventiva que evita que información especialmente sensible alimente a la IA por error.
Alcance Aplicación:
- Agentes Contextuales: SÍ aplica (documentos SharePoint/OneDrive indexados)
- Agentes Genéricos sin contexto: NO aplica (sin indexación documental)
TBDs Discovery:
1. ¿Purview activo actualmente en entorno Esteve?
   - Si NO → Feature NO se implementa en Wave 1
2. Lista inicial etiquetas a vetar</t>
  </si>
  <si>
    <t>Pantalla Supervisión Reactivos Químicos</t>
  </si>
  <si>
    <t>Total general</t>
  </si>
  <si>
    <t>Solution UATs List</t>
  </si>
  <si>
    <t>UAT Name</t>
  </si>
  <si>
    <t>Goals</t>
  </si>
  <si>
    <t>UT.01</t>
  </si>
  <si>
    <t>Internal</t>
  </si>
  <si>
    <t>UT.02</t>
  </si>
  <si>
    <t>External</t>
  </si>
  <si>
    <t>UT.03</t>
  </si>
  <si>
    <t>UT.04</t>
  </si>
  <si>
    <t>UT.05</t>
  </si>
  <si>
    <t>UT.06</t>
  </si>
  <si>
    <t>UT.07</t>
  </si>
  <si>
    <t>UT.08</t>
  </si>
  <si>
    <t>UT.09</t>
  </si>
  <si>
    <t>UT.10</t>
  </si>
  <si>
    <t>UT.11</t>
  </si>
  <si>
    <t>UT.12</t>
  </si>
  <si>
    <t>UT.13</t>
  </si>
  <si>
    <t>UT.14</t>
  </si>
  <si>
    <t>UT.15</t>
  </si>
  <si>
    <t>UT.16</t>
  </si>
  <si>
    <t>[ESTEVE]: revisar cómo aplicar la política de idiomas en relación a esta feature.</t>
  </si>
  <si>
    <t>[ESTEVE]: RFP modelos distintos en función del departamento (Eva comprueba)</t>
  </si>
  <si>
    <t>[ESTEVE]: Creación grupo AD con únicamente este grupo</t>
  </si>
  <si>
    <t>[Esteve]: a comentar internamente → ¿aplicación etiquetado con "Uso restringido" como sistema de "filtrado" para excluir documentación de las indexaciones?</t>
  </si>
  <si>
    <t>Final</t>
  </si>
  <si>
    <t>Cuando un usuario accede al Portal de Agentes IA, el sistema detecta automáticamente el idioma por defecto del usuario. La solución soporta los siguientes idiomas:
- Español (ES)
- Inglés (EN)
- Alemán (DE)
- Chino Simplificado (ZH)
- Portugués (PT)
- Francés (FR)
- Italiano (IT)
Si el usuario no utiliza uno de estos idiomas, el sistema aplica el idioma default configurado por Esteve.
⚠️ LIMITACIÓN: Los idiomas listados han sido validados y soportados por los modelos Azure OpenAI utilizados. Idiomas fuera de esta lista están fuera del alcance de la solución, ya que no se puede garantizar su calidad ni funcionalidad. Esteve determinará el texto informativo que se mostrará a usuarios que intenten usar idiomas no soportados.</t>
  </si>
  <si>
    <r>
      <t xml:space="preserve">Cuando un usuario interactúa con cualquiera de los 10 agentes genéricos del portal, el sistema proporciona conversaciones en lenguaje natural con memoria de interacciones previas dentro de la misma sesión. El agente responde en el idioma de la consulta del usuario.
- 7 agentes modelo básico (GPT-4o-mini): Consulta, Traducción, Consulta Documentos, Redactor Corporativo, Resumen Ejecutivo, Revisor Estilo, Preparación Reuniones
- 3 agentes modelo avanzado (GPT-4o/o3): Researcher, Generador URS, Redactor RFPs
</t>
    </r>
    <r>
      <rPr>
        <b/>
        <sz val="9"/>
        <color theme="1"/>
        <rFont val="Aptos"/>
      </rPr>
      <t>Configuración de modelos</t>
    </r>
    <r>
      <rPr>
        <sz val="9"/>
        <color theme="1"/>
        <rFont val="Aptos"/>
      </rPr>
      <t>:
Los modelos Azure OpenAI asignados a cada agente son configurables post-despliegue por el Administrador. La disponibilidad de modelos específicos (incluyendo versiones más recientes como GPT-5) depende de:
- Zona geográfica de la suscripción Azure
- Límites de TPM (Tokens Por Minuto) del modelo en Azure
- Capacidad de uso simultáneo entre usuarios
La solución es escalable y permite cambiar modelos en el futuro según evolución del catálogo Azure OpenAI.
Los 10 son agentes GENÉRICOS (operan sin contexto corporativo), diferenciados de agentes contextuales (FT.21-26) y del agente especializado Reactivos Químicos (FT.01-07).
Gestión de disponibilidad:
El portal muestra un aviso visible indicando que las respuestas de IA son orientativas y requieren validación del usuario.</t>
    </r>
  </si>
  <si>
    <r>
      <t xml:space="preserve">El sistema permite a los usuarios interactuar con los agentes mediante conversaciones en lenguaje natural
Cuando el usuario envía una consulta, el sistema:
- Interpreta la consulta en lenguaje natural
- Genera respuesta basada en el modelo del agente (FT.14)
- Muestra respuesta en formato conversacional
- Mantiene contexto de la conversación activa (memoria multiturno)
El sistema mantiene historial de conversaciones personalizado por usuario, permitiendo revisar y continuar conversaciones previas.
</t>
    </r>
    <r>
      <rPr>
        <b/>
        <sz val="9"/>
        <color theme="1"/>
        <rFont val="Aptos"/>
      </rPr>
      <t>Gestión de límites conversacionales:</t>
    </r>
    <r>
      <rPr>
        <sz val="9"/>
        <color theme="1"/>
        <rFont val="Aptos"/>
      </rPr>
      <t xml:space="preserve">
Los límites de memoria conversacional (tiempo de retención, tamaño máximo) se configuran en Azure y están fuera del alcance de desarrollo de la solución.
Esteve puede configurar alertas de consumo directamente en Azure Monitoring cuando se alcancen umbrales específicos definidos por su organización. Acompañamiento de Raona durante configuración.
El agente Consulta Documentos permite adjuntar hasta 3 archivos simultáneos al iniciar la conversación.</t>
    </r>
  </si>
  <si>
    <t>Cuando un agente genera contenido estructurado como resultado de la conversación, el sistema permite al usuario acceder al resultado generado.
  Los agentes incluyen:
  - Reactivos Químicos: descarga documento texto plano enriquecido (garantizado según propuesta)
  - Redactor Corporativo, Generador URS, Redactor RFPs: salida según capacidades modelo (evaluación Discovery)
      - El formato de salida depende de las capacidades nativas del modelo Azure OpenAI seleccionado
El formato de documento se define durante Discovery según tipo de agente y viabilidad técnica del modelo seleccionado.</t>
  </si>
  <si>
    <t>Cuando un usuario inicia una conversación con un agente, el sistema pone a disposición hasta 3 prompts predefinidos configurados para ese agente. El usuario puede seleccionar uno de estos prompts predefinidos o escribir consulta libre en lenguaje natural.
Para agentes genéricos (10 preconfigurados), los prompts predefinidos se configuran durante el despliegue. La definición específica de estos prompts se trabaja en sesiones Discovery con equipos Esteve. El rol Administrador puede modificar los prompts predefinidos de cada agente después del despliegue.
Para agentes contextuales (creados por Gestores vía wizard FT.21), el sistema permite configurar hasta 3 prompts predefinidos durante la creación del agente.
Los prompts predefinidos son independientes de la biblioteca de prompts personales del usuario (FT.20), donde cada usuario almacena y recupera sus propios prompts creados.</t>
  </si>
  <si>
    <t>Cuando un usuario con rol Gestor de Agentes accede a la herramienta de creación de agentes, el sistema proporciona un wizard autónomo para crear agentes contextuales sin intervención IT.
Cuando el Gestor crea un agente contextual, el wizard solicita:
- nombre del agente, descripción, audiencia (grupos Active Directory y/o usuarios individuales)
- instrucciones (texto plano que predefine comportamiento)
- modelo de IA a utilizar (seleccionable entre los habilitados por el Administrador)
- hasta 3 prompts predefinidos (FT.18)
- hasta 3 bibliotecas SharePoint como contexto (FT.22).
El sistema permite al Gestor gestionar el ciclo de vida de sus agentes: publicar, despublicar, eliminar. La lista de agentes creados por el Gestor es accesible para administración.</t>
  </si>
  <si>
    <t>Cuando un Gestor de Agentes crea un agente contextual mediante wizard (FT.21), el sistema permite seleccionar bibliotecas de SharePoint específicas que actúan como contexto documental del agente.
Los agentes contextuales se diferencian de los 10 agentes genéricos del portal en que los contextuales acceden a información corporativa específica de las bibliotecas SharePoint seleccionadas.
El sistema aplica límites por agente contextual: máximo 2.000 ficheros o 5 GB de contenido total, lo que se alcance primero. Los formatos de documento soportados son: Word, PDF, texto plano, Excel, PowerPoint, JPG, Gif y PNG, con tamaño máximo de 200 MB por fichero individual.
El sistema respeta los permisos SharePoint existentes. Si un usuario no tiene permisos para acceder a un documento específico, el agente no proporcionará acceso a esa información.
Cuando un agente contextual alcanza los límites de 2.000 ficheros o 5 GB, el sistema genera alerta automática vía email al Gestor creador del agente, indicando necesidad de revisar contexto.</t>
  </si>
  <si>
    <t>Cuando un agente contextual alcanza los límites máximos definidos por contexto, el sistema ejecuta dos acciones:
Comportamiento sistema:
1. Detener indexación: Deja de indexar nueva documentación de las bibliotecas SharePoint asociadas
2. Notificar owner: Envía correo electrónico automático al propietario (owner) del agente informando del límite alcanzado
La notificación permite al Gestor Agentes tomar decisiones sobre la gestión del contexto documental.</t>
  </si>
  <si>
    <t>[ESTEVE]: Pasan las tablas que usan</t>
  </si>
  <si>
    <t>Listado de Acciones Pendientes - ESTEVE</t>
  </si>
  <si>
    <t>Nº</t>
  </si>
  <si>
    <t>Título de la Tarea</t>
  </si>
  <si>
    <t>Feature Relacionada</t>
  </si>
  <si>
    <t>Descripción</t>
  </si>
  <si>
    <t>Acción Requerida</t>
  </si>
  <si>
    <t>Estado</t>
  </si>
  <si>
    <t>Templates RFP/URS por Área</t>
  </si>
  <si>
    <t>FT.14 - Agentes Genéricos URS/RFP</t>
  </si>
  <si>
    <t>Durante las sesiones se identificó la existencia de distintos templates de documentos según área organizativa.</t>
  </si>
  <si>
    <t>• Confirmar si hay plantillas distintas de RFP/URS en función del área
• Proporcionar ejemplos de los templates existentes para análisis técnico</t>
  </si>
  <si>
    <t>Disclaimer Legal Uso IA</t>
  </si>
  <si>
    <t>FT.14 - Comportamiento base agentes</t>
  </si>
  <si>
    <t>El portal debe mostrar aviso visible indicando que respuestas IA son orientativas y requieren validación usuario.</t>
  </si>
  <si>
    <t>• Consultar con departamento legal cuál debe ser el texto exacto del disclaimer
• Definir ubicación</t>
  </si>
  <si>
    <t>Tamaños Bibliotecas SharePoint</t>
  </si>
  <si>
    <t>FT.22 - Contexto SharePoint límites</t>
  </si>
  <si>
    <t>Revisión situación actual bibliotecas SharePoint corporativas para determinar límites apropiados.</t>
  </si>
  <si>
    <t>• Revisar tamaño actual de bibliotecas SharePoint que se planea utilizar como contexto
• Identificar cuántas bibliotecas exceden límites actuales (2000 ficheros o 5GB)</t>
  </si>
  <si>
    <t>Política Corporativa Idiomas</t>
  </si>
  <si>
    <t>FT.13 - Soporte multiidioma</t>
  </si>
  <si>
    <t>Idiomas propuesta: español, inglés, alemán, chino, portugués, francés + italiano.</t>
  </si>
  <si>
    <t>• Revisar política idiomas corporativa actual vs lista propuesta</t>
  </si>
  <si>
    <t>Guías de Estilo y Glosarios Corporativos</t>
  </si>
  <si>
    <t>FT.14 - Agentes genéricos (Redactor Corporativo, Revisor Estilo)</t>
  </si>
  <si>
    <t>Algunos agentes requieren tono específico y documentos de referencia.</t>
  </si>
  <si>
    <t>• Determinar si existen guías de estilo corporativo Esteve
• Proporcionar glosarios de terminología corporativa si existen</t>
  </si>
  <si>
    <t>Prompts Predefinidos y Nombres Agentes</t>
  </si>
  <si>
    <t>FT.18 - Prompts predefinidos, FT.14 - Agentes genéricos</t>
  </si>
  <si>
    <t>Revisión de prompts predefinidos propuestos y nombres de agentes según guía estilo corporativo.</t>
  </si>
  <si>
    <t>• Revisar documento prompts predefinidos enviado por Raona
• Revisar nombres propuestos 10 agentes genéricos
• Proporcionar feedback ajustes necesarios</t>
  </si>
  <si>
    <t>Undone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</si>
</sst>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dd/mm/yyyy;@"/>
    <numFmt numFmtId="165" formatCode="_-* #,##0\ &quot;€&quot;_-;\-* #,##0\ &quot;€&quot;_-;_-* &quot;-&quot;??\ &quot;€&quot;_-;_-@_-"/>
  </numFmts>
  <fonts count="52">
    <font>
      <sz val="11"/>
      <color theme="1"/>
      <name val="Calibri"/>
      <family val="2"/>
      <scheme val="minor"/>
    </font>
    <font>
      <b/>
      <sz val="20"/>
      <color theme="1"/>
      <name val="Calibri"/>
      <family val="2"/>
      <scheme val="minor"/>
    </font>
    <font>
      <sz val="11"/>
      <color theme="0"/>
      <name val="Calibri"/>
      <family val="2"/>
      <scheme val="minor"/>
    </font>
    <font>
      <sz val="8"/>
      <name val="Calibri"/>
      <family val="2"/>
      <scheme val="minor"/>
    </font>
    <font>
      <b/>
      <sz val="18"/>
      <color theme="1"/>
      <name val="Aptos"/>
      <family val="2"/>
    </font>
    <font>
      <sz val="11"/>
      <color theme="1"/>
      <name val="Aptos"/>
      <family val="2"/>
    </font>
    <font>
      <b/>
      <sz val="11"/>
      <color theme="0"/>
      <name val="Aptos"/>
      <family val="2"/>
    </font>
    <font>
      <sz val="10"/>
      <color theme="1"/>
      <name val="Aptos"/>
      <family val="2"/>
    </font>
    <font>
      <sz val="11"/>
      <color theme="1"/>
      <name val="Calibri"/>
      <family val="2"/>
      <scheme val="minor"/>
    </font>
    <font>
      <sz val="9"/>
      <color indexed="81"/>
      <name val="Tahoma"/>
      <family val="2"/>
    </font>
    <font>
      <b/>
      <sz val="12"/>
      <color theme="0"/>
      <name val="Aptos"/>
      <family val="2"/>
    </font>
    <font>
      <b/>
      <sz val="18"/>
      <color theme="0"/>
      <name val="Aptos"/>
      <family val="2"/>
    </font>
    <font>
      <b/>
      <sz val="11"/>
      <color theme="1"/>
      <name val="Aptos"/>
      <family val="2"/>
    </font>
    <font>
      <b/>
      <sz val="14"/>
      <color theme="0"/>
      <name val="Aptos"/>
      <family val="2"/>
    </font>
    <font>
      <sz val="12"/>
      <color theme="1"/>
      <name val="Aptos"/>
      <family val="2"/>
    </font>
    <font>
      <b/>
      <sz val="12"/>
      <color theme="1"/>
      <name val="Aptos"/>
      <family val="2"/>
    </font>
    <font>
      <sz val="9"/>
      <color theme="1"/>
      <name val="Aptos"/>
      <family val="2"/>
    </font>
    <font>
      <i/>
      <sz val="11"/>
      <color theme="1"/>
      <name val="Aptos"/>
      <family val="2"/>
    </font>
    <font>
      <sz val="9"/>
      <color rgb="FF000000"/>
      <name val="Tahoma"/>
      <family val="2"/>
    </font>
    <font>
      <sz val="9"/>
      <color rgb="FF000000"/>
      <name val="Segoe UI"/>
      <family val="2"/>
    </font>
    <font>
      <sz val="8"/>
      <color rgb="FF000000"/>
      <name val="Segoe UI"/>
      <family val="2"/>
    </font>
    <font>
      <i/>
      <sz val="10"/>
      <color theme="1"/>
      <name val="Aptos"/>
      <family val="2"/>
    </font>
    <font>
      <b/>
      <i/>
      <sz val="11"/>
      <color theme="1"/>
      <name val="Aptos"/>
      <family val="2"/>
    </font>
    <font>
      <b/>
      <i/>
      <sz val="10"/>
      <color theme="1"/>
      <name val="Aptos"/>
      <family val="2"/>
    </font>
    <font>
      <sz val="9"/>
      <color rgb="FF000000"/>
      <name val="Segoe UI"/>
      <family val="2"/>
      <charset val="1"/>
    </font>
    <font>
      <sz val="10"/>
      <color theme="1"/>
      <name val="Lora"/>
    </font>
    <font>
      <sz val="10"/>
      <color rgb="FF000000"/>
      <name val="Lora"/>
    </font>
    <font>
      <sz val="11"/>
      <color theme="1"/>
      <name val="Poppins Regular"/>
    </font>
    <font>
      <sz val="11"/>
      <color theme="1"/>
      <name val="Lora"/>
    </font>
    <font>
      <b/>
      <sz val="12"/>
      <color theme="0"/>
      <name val="Poppins Regular"/>
    </font>
    <font>
      <b/>
      <sz val="20"/>
      <color theme="1"/>
      <name val="Poppins Regular"/>
    </font>
    <font>
      <i/>
      <sz val="9"/>
      <color theme="1"/>
      <name val="Lora"/>
    </font>
    <font>
      <b/>
      <i/>
      <sz val="9"/>
      <color theme="1"/>
      <name val="Lora"/>
    </font>
    <font>
      <sz val="10"/>
      <name val="Lora"/>
    </font>
    <font>
      <b/>
      <sz val="10"/>
      <color rgb="FF000000"/>
      <name val="Lora"/>
    </font>
    <font>
      <b/>
      <sz val="10"/>
      <color theme="0"/>
      <name val="Lora"/>
    </font>
    <font>
      <sz val="10"/>
      <color theme="0"/>
      <name val="Lora"/>
    </font>
    <font>
      <b/>
      <sz val="10"/>
      <color theme="1"/>
      <name val="Lora"/>
    </font>
    <font>
      <b/>
      <i/>
      <sz val="10"/>
      <color rgb="FFFF0000"/>
      <name val="Lora"/>
    </font>
    <font>
      <b/>
      <sz val="10"/>
      <name val="Lora"/>
    </font>
    <font>
      <sz val="9"/>
      <color theme="1"/>
      <name val="Aptos"/>
    </font>
    <font>
      <sz val="9"/>
      <color rgb="FF000000"/>
      <name val="Aptos"/>
    </font>
    <font>
      <b/>
      <sz val="9"/>
      <color theme="1"/>
      <name val="Aptos"/>
    </font>
    <font>
      <b/>
      <sz val="9"/>
      <color rgb="FF000000"/>
      <name val="Aptos"/>
    </font>
    <font>
      <b/>
      <i/>
      <sz val="9"/>
      <color rgb="FFFF0000"/>
      <name val="Aptos"/>
    </font>
    <font>
      <sz val="9"/>
      <color theme="4"/>
      <name val="Aptos"/>
    </font>
    <font>
      <sz val="9"/>
      <color theme="5"/>
      <name val="Aptos"/>
    </font>
    <font>
      <sz val="9"/>
      <color rgb="FFED7D31"/>
      <name val="Aptos"/>
    </font>
    <font>
      <sz val="10"/>
      <color theme="1"/>
      <name val="Spectral"/>
    </font>
    <font>
      <b/>
      <sz val="11"/>
      <color theme="0"/>
      <name val="Poppins Regular"/>
    </font>
    <font>
      <sz val="11"/>
      <color theme="1"/>
      <name val="Spectral Regular"/>
    </font>
    <font>
      <b/>
      <sz val="11"/>
      <color theme="1"/>
      <name val="Spectral"/>
    </font>
  </fonts>
  <fills count="12">
    <fill>
      <patternFill patternType="none"/>
    </fill>
    <fill>
      <patternFill patternType="gray125"/>
    </fill>
    <fill>
      <patternFill patternType="solid">
        <fgColor theme="4"/>
      </patternFill>
    </fill>
    <fill>
      <patternFill patternType="solid">
        <fgColor theme="2"/>
        <bgColor indexed="64"/>
      </patternFill>
    </fill>
    <fill>
      <patternFill patternType="solid">
        <fgColor theme="1"/>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1"/>
        <bgColor theme="1"/>
      </patternFill>
    </fill>
    <fill>
      <patternFill patternType="solid">
        <fgColor rgb="FFF8F8F8"/>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ck">
        <color indexed="64"/>
      </right>
      <top/>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CCCCC"/>
      </left>
      <right/>
      <top style="thin">
        <color rgb="FFCCCCCC"/>
      </top>
      <bottom/>
      <diagonal/>
    </border>
    <border>
      <left style="thin">
        <color rgb="FFCCCCCC"/>
      </left>
      <right/>
      <top style="thin">
        <color rgb="FFCCCCCC"/>
      </top>
      <bottom style="thin">
        <color auto="1"/>
      </bottom>
      <diagonal/>
    </border>
    <border>
      <left style="thin">
        <color indexed="64"/>
      </left>
      <right/>
      <top style="thin">
        <color indexed="64"/>
      </top>
      <bottom style="thin">
        <color theme="1"/>
      </bottom>
      <diagonal/>
    </border>
    <border>
      <left style="thin">
        <color theme="1"/>
      </left>
      <right/>
      <top style="thin">
        <color indexed="64"/>
      </top>
      <bottom style="thin">
        <color theme="1"/>
      </bottom>
      <diagonal/>
    </border>
    <border>
      <left/>
      <right/>
      <top style="thin">
        <color indexed="64"/>
      </top>
      <bottom style="thin">
        <color theme="1"/>
      </bottom>
      <diagonal/>
    </border>
    <border>
      <left style="thin">
        <color theme="1"/>
      </left>
      <right style="thin">
        <color indexed="64"/>
      </right>
      <top style="thin">
        <color indexed="64"/>
      </top>
      <bottom style="thin">
        <color theme="1"/>
      </bottom>
      <diagonal/>
    </border>
    <border>
      <left style="thin">
        <color indexed="64"/>
      </left>
      <right/>
      <top style="thin">
        <color rgb="FFCCCCCC"/>
      </top>
      <bottom/>
      <diagonal/>
    </border>
    <border>
      <left style="thin">
        <color rgb="FFCCCCCC"/>
      </left>
      <right style="thin">
        <color indexed="64"/>
      </right>
      <top style="thin">
        <color rgb="FFCCCCCC"/>
      </top>
      <bottom/>
      <diagonal/>
    </border>
    <border>
      <left style="thin">
        <color indexed="64"/>
      </left>
      <right/>
      <top style="thin">
        <color rgb="FFCCCCCC"/>
      </top>
      <bottom style="thin">
        <color indexed="64"/>
      </bottom>
      <diagonal/>
    </border>
    <border>
      <left style="thin">
        <color rgb="FFCCCCCC"/>
      </left>
      <right style="thin">
        <color indexed="64"/>
      </right>
      <top style="thin">
        <color rgb="FFCCCCCC"/>
      </top>
      <bottom style="thin">
        <color indexed="64"/>
      </bottom>
      <diagonal/>
    </border>
  </borders>
  <cellStyleXfs count="4">
    <xf numFmtId="0" fontId="0" fillId="0" borderId="0"/>
    <xf numFmtId="0" fontId="2" fillId="2" borderId="0" applyNumberFormat="0" applyBorder="0" applyAlignment="0" applyProtection="0"/>
    <xf numFmtId="44" fontId="8" fillId="0" borderId="0" applyFont="0" applyFill="0" applyBorder="0" applyAlignment="0" applyProtection="0"/>
    <xf numFmtId="9" fontId="8" fillId="0" borderId="0" applyFont="0" applyFill="0" applyBorder="0" applyAlignment="0" applyProtection="0"/>
  </cellStyleXfs>
  <cellXfs count="113">
    <xf numFmtId="0" fontId="0" fillId="0" borderId="0" xfId="0"/>
    <xf numFmtId="0" fontId="1" fillId="0" borderId="0" xfId="0" applyFont="1"/>
    <xf numFmtId="0" fontId="5" fillId="0" borderId="0" xfId="0" applyFont="1"/>
    <xf numFmtId="49" fontId="4" fillId="0" borderId="0" xfId="0" applyNumberFormat="1" applyFont="1"/>
    <xf numFmtId="49" fontId="5" fillId="3" borderId="2" xfId="0" applyNumberFormat="1" applyFont="1" applyFill="1" applyBorder="1"/>
    <xf numFmtId="164" fontId="5" fillId="3" borderId="2" xfId="0" applyNumberFormat="1" applyFont="1" applyFill="1" applyBorder="1"/>
    <xf numFmtId="0" fontId="11" fillId="4" borderId="0" xfId="0" applyFont="1" applyFill="1" applyAlignment="1">
      <alignment horizontal="left" indent="1"/>
    </xf>
    <xf numFmtId="0" fontId="11" fillId="4" borderId="0" xfId="0" applyFont="1" applyFill="1" applyAlignment="1">
      <alignment horizontal="center"/>
    </xf>
    <xf numFmtId="165" fontId="11" fillId="4" borderId="0" xfId="2" applyNumberFormat="1" applyFont="1" applyFill="1" applyAlignment="1">
      <alignment horizontal="right"/>
    </xf>
    <xf numFmtId="3" fontId="11" fillId="4" borderId="0" xfId="0" applyNumberFormat="1" applyFont="1" applyFill="1" applyAlignment="1">
      <alignment horizontal="right"/>
    </xf>
    <xf numFmtId="0" fontId="10" fillId="4" borderId="0" xfId="0" applyFont="1" applyFill="1" applyAlignment="1">
      <alignment horizontal="left" vertical="center"/>
    </xf>
    <xf numFmtId="0" fontId="6" fillId="4" borderId="0" xfId="0" applyFont="1" applyFill="1" applyAlignment="1">
      <alignment horizontal="center" vertical="center"/>
    </xf>
    <xf numFmtId="0" fontId="12" fillId="0" borderId="0" xfId="0" applyFont="1" applyAlignment="1">
      <alignment horizontal="left" indent="2"/>
    </xf>
    <xf numFmtId="1" fontId="5" fillId="3" borderId="0" xfId="2" applyNumberFormat="1" applyFont="1" applyFill="1"/>
    <xf numFmtId="0" fontId="10" fillId="4" borderId="0" xfId="1" applyFont="1" applyFill="1"/>
    <xf numFmtId="49" fontId="5" fillId="3" borderId="4" xfId="0" applyNumberFormat="1" applyFont="1" applyFill="1" applyBorder="1"/>
    <xf numFmtId="164" fontId="5" fillId="3" borderId="4" xfId="0" applyNumberFormat="1" applyFont="1" applyFill="1" applyBorder="1"/>
    <xf numFmtId="0" fontId="10" fillId="4" borderId="1" xfId="1" applyFont="1" applyFill="1" applyBorder="1"/>
    <xf numFmtId="49" fontId="5" fillId="5" borderId="2" xfId="0" applyNumberFormat="1" applyFont="1" applyFill="1" applyBorder="1"/>
    <xf numFmtId="164" fontId="5" fillId="5" borderId="2" xfId="0" applyNumberFormat="1" applyFont="1" applyFill="1" applyBorder="1"/>
    <xf numFmtId="1" fontId="5" fillId="0" borderId="0" xfId="2" applyNumberFormat="1" applyFont="1"/>
    <xf numFmtId="1" fontId="5" fillId="0" borderId="0" xfId="0" applyNumberFormat="1" applyFont="1"/>
    <xf numFmtId="1" fontId="6" fillId="4" borderId="3" xfId="3" applyNumberFormat="1" applyFont="1" applyFill="1" applyBorder="1"/>
    <xf numFmtId="1" fontId="13" fillId="4" borderId="3" xfId="3" applyNumberFormat="1" applyFont="1" applyFill="1" applyBorder="1"/>
    <xf numFmtId="0" fontId="15" fillId="0" borderId="5" xfId="0" applyFont="1" applyBorder="1" applyAlignment="1">
      <alignment horizontal="left" indent="1"/>
    </xf>
    <xf numFmtId="1" fontId="14" fillId="0" borderId="6" xfId="0" applyNumberFormat="1" applyFont="1" applyBorder="1"/>
    <xf numFmtId="0" fontId="15" fillId="0" borderId="8" xfId="0" applyFont="1" applyBorder="1" applyAlignment="1">
      <alignment horizontal="left" indent="1"/>
    </xf>
    <xf numFmtId="0" fontId="14" fillId="0" borderId="0" xfId="0" applyFont="1"/>
    <xf numFmtId="0" fontId="15" fillId="0" borderId="10" xfId="0" applyFont="1" applyBorder="1" applyAlignment="1">
      <alignment horizontal="left" indent="1"/>
    </xf>
    <xf numFmtId="0" fontId="14" fillId="0" borderId="11" xfId="0" applyFont="1" applyBorder="1"/>
    <xf numFmtId="0" fontId="12" fillId="6" borderId="0" xfId="0" applyFont="1" applyFill="1" applyAlignment="1">
      <alignment horizontal="left" indent="2"/>
    </xf>
    <xf numFmtId="0" fontId="5" fillId="6" borderId="0" xfId="0" applyFont="1" applyFill="1"/>
    <xf numFmtId="1" fontId="5" fillId="6" borderId="0" xfId="0" applyNumberFormat="1" applyFont="1" applyFill="1"/>
    <xf numFmtId="0" fontId="12" fillId="7" borderId="0" xfId="0" applyFont="1" applyFill="1" applyAlignment="1">
      <alignment horizontal="left" indent="2"/>
    </xf>
    <xf numFmtId="0" fontId="5" fillId="7" borderId="0" xfId="0" applyFont="1" applyFill="1"/>
    <xf numFmtId="1" fontId="5" fillId="7" borderId="0" xfId="0" applyNumberFormat="1" applyFont="1" applyFill="1"/>
    <xf numFmtId="1" fontId="15" fillId="0" borderId="6" xfId="0" applyNumberFormat="1" applyFont="1" applyBorder="1"/>
    <xf numFmtId="1" fontId="15" fillId="0" borderId="7" xfId="0" applyNumberFormat="1" applyFont="1" applyBorder="1"/>
    <xf numFmtId="0" fontId="15" fillId="0" borderId="9" xfId="0" applyFont="1" applyBorder="1"/>
    <xf numFmtId="0" fontId="15" fillId="0" borderId="11" xfId="0" applyFont="1" applyBorder="1"/>
    <xf numFmtId="0" fontId="15" fillId="0" borderId="12" xfId="0" applyFont="1" applyBorder="1"/>
    <xf numFmtId="1" fontId="15" fillId="0" borderId="0" xfId="0" applyNumberFormat="1" applyFont="1"/>
    <xf numFmtId="0" fontId="12" fillId="8" borderId="0" xfId="0" applyFont="1" applyFill="1" applyAlignment="1">
      <alignment horizontal="left" indent="2"/>
    </xf>
    <xf numFmtId="0" fontId="5" fillId="8" borderId="0" xfId="0" applyFont="1" applyFill="1"/>
    <xf numFmtId="1" fontId="5" fillId="8" borderId="0" xfId="0" applyNumberFormat="1" applyFont="1" applyFill="1"/>
    <xf numFmtId="0" fontId="12" fillId="9" borderId="0" xfId="0" applyFont="1" applyFill="1" applyAlignment="1">
      <alignment horizontal="left" indent="2"/>
    </xf>
    <xf numFmtId="0" fontId="5" fillId="9" borderId="0" xfId="0" applyFont="1" applyFill="1"/>
    <xf numFmtId="1" fontId="5" fillId="9" borderId="0" xfId="0" applyNumberFormat="1" applyFont="1" applyFill="1"/>
    <xf numFmtId="49" fontId="5" fillId="3" borderId="2" xfId="0" applyNumberFormat="1" applyFont="1" applyFill="1" applyBorder="1" applyAlignment="1">
      <alignment horizontal="right"/>
    </xf>
    <xf numFmtId="0" fontId="5" fillId="0" borderId="0" xfId="0" applyFont="1" applyAlignment="1">
      <alignment wrapText="1"/>
    </xf>
    <xf numFmtId="0" fontId="16" fillId="0" borderId="0" xfId="0" applyFont="1" applyAlignment="1">
      <alignment wrapText="1"/>
    </xf>
    <xf numFmtId="0" fontId="15" fillId="3" borderId="8" xfId="0" applyFont="1" applyFill="1" applyBorder="1" applyAlignment="1">
      <alignment horizontal="left" indent="1"/>
    </xf>
    <xf numFmtId="1" fontId="15" fillId="3" borderId="0" xfId="0" applyNumberFormat="1" applyFont="1" applyFill="1"/>
    <xf numFmtId="1" fontId="14" fillId="3" borderId="0" xfId="0" applyNumberFormat="1" applyFont="1" applyFill="1"/>
    <xf numFmtId="0" fontId="15" fillId="3" borderId="9" xfId="0" applyFont="1" applyFill="1" applyBorder="1"/>
    <xf numFmtId="0" fontId="15" fillId="3" borderId="0" xfId="0" applyFont="1" applyFill="1"/>
    <xf numFmtId="0" fontId="14" fillId="3" borderId="0" xfId="0" applyFont="1" applyFill="1"/>
    <xf numFmtId="0" fontId="0" fillId="0" borderId="0" xfId="0" applyAlignment="1">
      <alignment vertical="top"/>
    </xf>
    <xf numFmtId="0" fontId="1" fillId="0" borderId="0" xfId="0" applyFont="1" applyAlignment="1">
      <alignment vertical="top"/>
    </xf>
    <xf numFmtId="0" fontId="14" fillId="0" borderId="0" xfId="0" applyFont="1" applyAlignment="1">
      <alignment wrapText="1"/>
    </xf>
    <xf numFmtId="0" fontId="15" fillId="0" borderId="0" xfId="0" applyFont="1" applyAlignment="1">
      <alignment wrapText="1"/>
    </xf>
    <xf numFmtId="0" fontId="7" fillId="0" borderId="0" xfId="0" applyFont="1" applyAlignment="1">
      <alignment wrapText="1"/>
    </xf>
    <xf numFmtId="14" fontId="14" fillId="0" borderId="0" xfId="0" applyNumberFormat="1" applyFont="1" applyAlignment="1">
      <alignment wrapText="1"/>
    </xf>
    <xf numFmtId="0" fontId="0" fillId="0" borderId="0" xfId="0" applyAlignment="1">
      <alignment wrapText="1"/>
    </xf>
    <xf numFmtId="0" fontId="25" fillId="0" borderId="0" xfId="0" applyFont="1" applyAlignment="1">
      <alignment horizontal="left" vertical="top" wrapText="1"/>
    </xf>
    <xf numFmtId="0" fontId="26" fillId="0" borderId="0" xfId="0" applyFont="1" applyAlignment="1">
      <alignment vertical="top" wrapText="1"/>
    </xf>
    <xf numFmtId="0" fontId="27" fillId="0" borderId="0" xfId="0" applyFont="1"/>
    <xf numFmtId="0" fontId="27" fillId="0" borderId="0" xfId="0" applyFont="1" applyAlignment="1">
      <alignment wrapText="1"/>
    </xf>
    <xf numFmtId="49" fontId="28" fillId="3" borderId="2" xfId="0" applyNumberFormat="1" applyFont="1" applyFill="1" applyBorder="1"/>
    <xf numFmtId="164" fontId="28" fillId="3" borderId="2" xfId="0" applyNumberFormat="1" applyFont="1" applyFill="1" applyBorder="1"/>
    <xf numFmtId="0" fontId="28" fillId="3" borderId="2" xfId="0" applyFont="1" applyFill="1" applyBorder="1"/>
    <xf numFmtId="164" fontId="28" fillId="3" borderId="2" xfId="0" applyNumberFormat="1" applyFont="1" applyFill="1" applyBorder="1" applyAlignment="1">
      <alignment horizontal="left"/>
    </xf>
    <xf numFmtId="0" fontId="29" fillId="4" borderId="0" xfId="1" applyFont="1" applyFill="1"/>
    <xf numFmtId="0" fontId="30" fillId="0" borderId="0" xfId="0" applyFont="1" applyAlignment="1">
      <alignment vertical="top"/>
    </xf>
    <xf numFmtId="0" fontId="27" fillId="0" borderId="0" xfId="0" applyFont="1" applyAlignment="1">
      <alignment vertical="top"/>
    </xf>
    <xf numFmtId="0" fontId="33" fillId="0" borderId="0" xfId="0" applyFont="1" applyAlignment="1">
      <alignment horizontal="left" vertical="top" wrapText="1"/>
    </xf>
    <xf numFmtId="0" fontId="26" fillId="0" borderId="0" xfId="0" applyFont="1" applyAlignment="1">
      <alignment horizontal="left" vertical="top" wrapText="1"/>
    </xf>
    <xf numFmtId="0" fontId="35" fillId="4" borderId="0" xfId="0" applyFont="1" applyFill="1" applyAlignment="1">
      <alignment horizontal="left" vertical="top" wrapText="1"/>
    </xf>
    <xf numFmtId="0" fontId="35" fillId="4" borderId="0" xfId="0" applyFont="1" applyFill="1" applyAlignment="1">
      <alignment horizontal="center" vertical="top" wrapText="1"/>
    </xf>
    <xf numFmtId="0" fontId="36" fillId="4" borderId="0" xfId="0" applyFont="1" applyFill="1" applyAlignment="1">
      <alignment horizontal="center" vertical="center" wrapText="1"/>
    </xf>
    <xf numFmtId="0" fontId="35" fillId="4" borderId="0" xfId="0" applyFont="1" applyFill="1" applyAlignment="1">
      <alignment horizontal="center" vertical="center" wrapText="1"/>
    </xf>
    <xf numFmtId="0" fontId="26" fillId="0" borderId="13" xfId="0" applyFont="1" applyBorder="1" applyAlignment="1">
      <alignment horizontal="left" vertical="top" wrapText="1"/>
    </xf>
    <xf numFmtId="0" fontId="26" fillId="0" borderId="14" xfId="0" applyFont="1" applyBorder="1" applyAlignment="1">
      <alignment horizontal="left" vertical="top" wrapText="1"/>
    </xf>
    <xf numFmtId="0" fontId="40" fillId="0" borderId="0" xfId="0" applyFont="1" applyAlignment="1">
      <alignment horizontal="left" vertical="top" wrapText="1"/>
    </xf>
    <xf numFmtId="0" fontId="41" fillId="0" borderId="0" xfId="0" applyFont="1" applyAlignment="1">
      <alignment horizontal="left" vertical="top" wrapText="1"/>
    </xf>
    <xf numFmtId="0" fontId="0" fillId="0" borderId="0" xfId="0" pivotButton="1"/>
    <xf numFmtId="0" fontId="44" fillId="0" borderId="0" xfId="0" applyFont="1" applyAlignment="1">
      <alignment horizontal="left" vertical="top" wrapText="1"/>
    </xf>
    <xf numFmtId="0" fontId="46" fillId="0" borderId="0" xfId="0" applyFont="1" applyAlignment="1">
      <alignment horizontal="left" vertical="top" wrapText="1"/>
    </xf>
    <xf numFmtId="0" fontId="45" fillId="0" borderId="0" xfId="0" applyFont="1" applyAlignment="1">
      <alignment horizontal="left" vertical="top" wrapText="1"/>
    </xf>
    <xf numFmtId="0" fontId="0" fillId="5" borderId="0" xfId="0" applyFill="1"/>
    <xf numFmtId="0" fontId="5" fillId="5" borderId="0" xfId="0" applyFont="1" applyFill="1"/>
    <xf numFmtId="0" fontId="0" fillId="5" borderId="0" xfId="0" applyFill="1" applyAlignment="1">
      <alignment vertical="top"/>
    </xf>
    <xf numFmtId="0" fontId="17" fillId="0" borderId="0" xfId="0" applyFont="1" applyAlignment="1">
      <alignment horizontal="left" vertical="top" wrapText="1"/>
    </xf>
    <xf numFmtId="0" fontId="31" fillId="0" borderId="0" xfId="0" applyFont="1" applyAlignment="1">
      <alignment horizontal="left" vertical="top" wrapText="1"/>
    </xf>
    <xf numFmtId="0" fontId="21" fillId="0" borderId="0" xfId="0" applyFont="1" applyAlignment="1">
      <alignment horizontal="left" vertical="top" wrapText="1"/>
    </xf>
    <xf numFmtId="164" fontId="5" fillId="3" borderId="4" xfId="0" applyNumberFormat="1" applyFont="1" applyFill="1" applyBorder="1" applyAlignment="1">
      <alignment horizontal="left"/>
    </xf>
    <xf numFmtId="0" fontId="49" fillId="10" borderId="17" xfId="0" applyFont="1" applyFill="1" applyBorder="1"/>
    <xf numFmtId="0" fontId="49" fillId="10" borderId="18" xfId="0" applyFont="1" applyFill="1" applyBorder="1"/>
    <xf numFmtId="0" fontId="49" fillId="10" borderId="19" xfId="0" applyFont="1" applyFill="1" applyBorder="1"/>
    <xf numFmtId="0" fontId="49" fillId="10" borderId="20" xfId="0" applyFont="1" applyFill="1" applyBorder="1"/>
    <xf numFmtId="0" fontId="48" fillId="11" borderId="21" xfId="0" applyFont="1" applyFill="1" applyBorder="1" applyAlignment="1">
      <alignment horizontal="center" vertical="center"/>
    </xf>
    <xf numFmtId="0" fontId="48" fillId="0" borderId="21" xfId="0" applyFont="1" applyBorder="1" applyAlignment="1">
      <alignment horizontal="center" vertical="center"/>
    </xf>
    <xf numFmtId="0" fontId="48" fillId="0" borderId="23" xfId="0" applyFont="1" applyFill="1" applyBorder="1" applyAlignment="1">
      <alignment horizontal="center" vertical="center"/>
    </xf>
    <xf numFmtId="0" fontId="50" fillId="11" borderId="22" xfId="0" applyFont="1" applyFill="1" applyBorder="1" applyAlignment="1">
      <alignment horizontal="center" vertical="center"/>
    </xf>
    <xf numFmtId="0" fontId="50" fillId="11" borderId="24" xfId="0" applyFont="1" applyFill="1" applyBorder="1" applyAlignment="1">
      <alignment horizontal="center" vertical="center"/>
    </xf>
    <xf numFmtId="0" fontId="50" fillId="11" borderId="15" xfId="0" applyFont="1" applyFill="1" applyBorder="1" applyAlignment="1">
      <alignment horizontal="left" vertical="center" wrapText="1"/>
    </xf>
    <xf numFmtId="0" fontId="50" fillId="0" borderId="15" xfId="0" applyFont="1" applyBorder="1" applyAlignment="1">
      <alignment horizontal="left" vertical="center" wrapText="1"/>
    </xf>
    <xf numFmtId="0" fontId="50" fillId="0" borderId="15" xfId="0" applyFont="1" applyBorder="1" applyAlignment="1">
      <alignment horizontal="left" vertical="center"/>
    </xf>
    <xf numFmtId="0" fontId="50" fillId="0" borderId="16" xfId="0" applyFont="1" applyFill="1" applyBorder="1" applyAlignment="1">
      <alignment horizontal="left" vertical="center" wrapText="1"/>
    </xf>
    <xf numFmtId="0" fontId="50" fillId="0" borderId="16" xfId="0" applyFont="1" applyBorder="1" applyAlignment="1">
      <alignment horizontal="left" vertical="center" wrapText="1"/>
    </xf>
    <xf numFmtId="0" fontId="51" fillId="11" borderId="15" xfId="0" applyFont="1" applyFill="1" applyBorder="1" applyAlignment="1">
      <alignment horizontal="left" vertical="center"/>
    </xf>
    <xf numFmtId="0" fontId="51" fillId="0" borderId="15" xfId="0" applyFont="1" applyBorder="1" applyAlignment="1">
      <alignment horizontal="left" vertical="center"/>
    </xf>
    <xf numFmtId="0" fontId="51" fillId="0" borderId="16" xfId="0" applyFont="1" applyFill="1" applyBorder="1" applyAlignment="1">
      <alignment horizontal="left" vertical="center"/>
    </xf>
  </cellXfs>
  <cellStyles count="4">
    <cellStyle name="Énfasis1" xfId="1" builtinId="29"/>
    <cellStyle name="Moneda" xfId="2" builtinId="4"/>
    <cellStyle name="Normal" xfId="0" builtinId="0"/>
    <cellStyle name="Porcentaje" xfId="3" builtinId="5"/>
  </cellStyles>
  <dxfs count="41">
    <dxf>
      <font>
        <strike val="0"/>
        <outline val="0"/>
        <shadow val="0"/>
        <u val="none"/>
        <vertAlign val="baseline"/>
        <color theme="1"/>
        <name val="Aptos"/>
        <family val="2"/>
        <scheme val="none"/>
      </font>
      <alignment horizontal="general" vertical="bottom" textRotation="0" wrapText="1" indent="0" justifyLastLine="0" shrinkToFit="0" readingOrder="0"/>
    </dxf>
    <dxf>
      <font>
        <strike val="0"/>
        <outline val="0"/>
        <shadow val="0"/>
        <u val="none"/>
        <vertAlign val="baseline"/>
        <color theme="1"/>
        <name val="Aptos"/>
        <family val="2"/>
        <scheme val="none"/>
      </font>
      <alignment horizontal="general" vertical="bottom" textRotation="0" wrapText="1" indent="0" justifyLastLine="0" shrinkToFit="0" readingOrder="0"/>
    </dxf>
    <dxf>
      <font>
        <strike val="0"/>
        <outline val="0"/>
        <shadow val="0"/>
        <u val="none"/>
        <vertAlign val="baseline"/>
        <color theme="1"/>
        <name val="Aptos"/>
        <family val="2"/>
        <scheme val="none"/>
      </font>
      <alignment horizontal="general" vertical="bottom" textRotation="0" wrapText="1" indent="0" justifyLastLine="0" shrinkToFit="0" readingOrder="0"/>
    </dxf>
    <dxf>
      <font>
        <strike val="0"/>
        <outline val="0"/>
        <shadow val="0"/>
        <u val="none"/>
        <vertAlign val="baseline"/>
        <sz val="9"/>
        <color theme="1"/>
        <name val="Aptos"/>
        <family val="2"/>
        <scheme val="none"/>
      </font>
      <alignment horizontal="general" vertical="bottom" textRotation="0" wrapText="1" indent="0" justifyLastLine="0" shrinkToFit="0" readingOrder="0"/>
    </dxf>
    <dxf>
      <font>
        <strike val="0"/>
        <outline val="0"/>
        <shadow val="0"/>
        <u val="none"/>
        <vertAlign val="baseline"/>
        <sz val="9"/>
        <color theme="1"/>
        <name val="Aptos"/>
        <family val="2"/>
        <scheme val="none"/>
      </font>
      <numFmt numFmtId="0" formatCode="General"/>
      <alignment horizontal="general" vertical="bottom" textRotation="0" wrapText="1" indent="0" justifyLastLine="0" shrinkToFit="0" readingOrder="0"/>
    </dxf>
    <dxf>
      <font>
        <strike val="0"/>
        <outline val="0"/>
        <shadow val="0"/>
        <u val="none"/>
        <vertAlign val="baseline"/>
        <sz val="11"/>
        <color theme="1"/>
        <name val="Aptos"/>
        <family val="2"/>
        <scheme val="none"/>
      </font>
      <alignment horizontal="general" vertical="bottom" textRotation="0" wrapText="1" indent="0" justifyLastLine="0" shrinkToFit="0" readingOrder="0"/>
    </dxf>
    <dxf>
      <font>
        <strike val="0"/>
        <outline val="0"/>
        <shadow val="0"/>
        <u val="none"/>
        <vertAlign val="baseline"/>
        <sz val="11"/>
        <color theme="1"/>
        <name val="Aptos"/>
        <family val="2"/>
        <scheme val="none"/>
      </font>
      <alignment horizontal="general" vertical="bottom" textRotation="0" wrapText="1" indent="0" justifyLastLine="0" shrinkToFit="0" readingOrder="0"/>
    </dxf>
    <dxf>
      <font>
        <strike val="0"/>
        <outline val="0"/>
        <shadow val="0"/>
        <u val="none"/>
        <vertAlign val="baseline"/>
        <color theme="1"/>
        <name val="Aptos"/>
        <family val="2"/>
        <scheme val="none"/>
      </font>
      <alignment horizontal="general" vertical="bottom" textRotation="0" wrapText="1" indent="0" justifyLastLine="0" shrinkToFit="0" readingOrder="0"/>
    </dxf>
    <dxf>
      <font>
        <strike val="0"/>
        <outline val="0"/>
        <shadow val="0"/>
        <u val="none"/>
        <vertAlign val="baseline"/>
        <color theme="1"/>
        <name val="Aptos"/>
        <family val="2"/>
        <scheme val="none"/>
      </font>
    </dxf>
    <dxf>
      <font>
        <b val="0"/>
        <i val="0"/>
        <strike val="0"/>
        <condense val="0"/>
        <extend val="0"/>
        <outline val="0"/>
        <shadow val="0"/>
        <u val="none"/>
        <vertAlign val="baseline"/>
        <sz val="9"/>
        <color theme="1"/>
        <name val="Aptos"/>
        <scheme val="none"/>
      </font>
      <alignment horizontal="left" vertical="top" textRotation="0" wrapText="1" indent="0" justifyLastLine="0" shrinkToFit="0" readingOrder="0"/>
    </dxf>
    <dxf>
      <font>
        <strike val="0"/>
        <outline val="0"/>
        <shadow val="0"/>
        <u val="none"/>
        <vertAlign val="baseline"/>
        <sz val="9"/>
        <color theme="1"/>
        <name val="Aptos"/>
        <scheme val="none"/>
      </font>
      <alignment horizontal="left" vertical="top" textRotation="0" wrapText="1" indent="0" justifyLastLine="0" shrinkToFit="0" readingOrder="0"/>
    </dxf>
    <dxf>
      <font>
        <strike val="0"/>
        <outline val="0"/>
        <shadow val="0"/>
        <u val="none"/>
        <vertAlign val="baseline"/>
        <sz val="9"/>
        <color theme="1"/>
        <name val="Aptos"/>
        <scheme val="none"/>
      </font>
      <alignment horizontal="left" vertical="top" textRotation="0" wrapText="1" indent="0" justifyLastLine="0" shrinkToFit="0" readingOrder="0"/>
    </dxf>
    <dxf>
      <font>
        <strike val="0"/>
        <outline val="0"/>
        <shadow val="0"/>
        <u val="none"/>
        <vertAlign val="baseline"/>
        <sz val="9"/>
        <color theme="1"/>
        <name val="Aptos"/>
        <scheme val="none"/>
      </font>
      <alignment horizontal="left" vertical="top" textRotation="0" wrapText="1" indent="0" justifyLastLine="0" shrinkToFit="0" readingOrder="0"/>
    </dxf>
    <dxf>
      <font>
        <b val="0"/>
        <i val="0"/>
        <strike val="0"/>
        <condense val="0"/>
        <extend val="0"/>
        <outline val="0"/>
        <shadow val="0"/>
        <u val="none"/>
        <vertAlign val="baseline"/>
        <sz val="9"/>
        <color theme="1"/>
        <name val="Aptos"/>
        <scheme val="none"/>
      </font>
      <alignment horizontal="left" vertical="top" textRotation="0" wrapText="1" indent="0" justifyLastLine="0" shrinkToFit="0" readingOrder="0"/>
    </dxf>
    <dxf>
      <font>
        <strike val="0"/>
        <outline val="0"/>
        <shadow val="0"/>
        <u val="none"/>
        <vertAlign val="baseline"/>
        <sz val="9"/>
        <color theme="1"/>
        <name val="Aptos"/>
        <scheme val="none"/>
      </font>
      <alignment horizontal="left" vertical="top" textRotation="0" wrapText="1" indent="0" justifyLastLine="0" shrinkToFit="0" readingOrder="0"/>
    </dxf>
    <dxf>
      <font>
        <strike val="0"/>
        <outline val="0"/>
        <shadow val="0"/>
        <u val="none"/>
        <vertAlign val="baseline"/>
        <sz val="9"/>
        <color theme="1"/>
        <name val="Aptos"/>
        <scheme val="none"/>
      </font>
      <alignment horizontal="left" vertical="top" textRotation="0" wrapText="1" indent="0" justifyLastLine="0" shrinkToFit="0" readingOrder="0"/>
    </dxf>
    <dxf>
      <font>
        <strike val="0"/>
        <outline val="0"/>
        <shadow val="0"/>
        <u val="none"/>
        <vertAlign val="baseline"/>
        <sz val="9"/>
        <color theme="1"/>
        <name val="Aptos"/>
        <scheme val="none"/>
      </font>
      <alignment horizontal="left" vertical="top" textRotation="0" wrapText="1" indent="0" justifyLastLine="0" shrinkToFit="0" readingOrder="0"/>
    </dxf>
    <dxf>
      <font>
        <strike val="0"/>
        <outline val="0"/>
        <shadow val="0"/>
        <u val="none"/>
        <vertAlign val="baseline"/>
        <color theme="1"/>
        <name val="Aptos"/>
        <family val="2"/>
        <scheme val="none"/>
      </font>
    </dxf>
    <dxf>
      <font>
        <strike val="0"/>
        <outline val="0"/>
        <shadow val="0"/>
        <u val="none"/>
        <vertAlign val="baseline"/>
        <sz val="10"/>
        <color theme="1"/>
        <name val="Lora"/>
        <scheme val="none"/>
      </font>
      <alignment horizontal="left" vertical="top" textRotation="0" wrapText="1" indent="0" justifyLastLine="0" shrinkToFit="0" readingOrder="0"/>
    </dxf>
    <dxf>
      <font>
        <strike val="0"/>
        <outline val="0"/>
        <shadow val="0"/>
        <u val="none"/>
        <vertAlign val="baseline"/>
        <sz val="10"/>
        <color theme="1"/>
        <name val="Lora"/>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Lora"/>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Lora"/>
        <scheme val="none"/>
      </font>
      <alignment horizontal="left" vertical="top" textRotation="0" wrapText="1" indent="0" justifyLastLine="0" shrinkToFit="0" readingOrder="0"/>
    </dxf>
    <dxf>
      <font>
        <strike val="0"/>
        <outline val="0"/>
        <shadow val="0"/>
        <u val="none"/>
        <vertAlign val="baseline"/>
        <sz val="10"/>
        <color theme="1"/>
        <name val="Lora"/>
        <scheme val="none"/>
      </font>
      <alignment horizontal="left" vertical="top" textRotation="0" wrapText="1" indent="0" justifyLastLine="0" shrinkToFit="0" readingOrder="0"/>
    </dxf>
    <dxf>
      <font>
        <strike val="0"/>
        <outline val="0"/>
        <shadow val="0"/>
        <u val="none"/>
        <vertAlign val="baseline"/>
        <sz val="10"/>
        <color theme="1"/>
        <name val="Lora"/>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Lora"/>
        <scheme val="none"/>
      </font>
      <alignment horizontal="left" vertical="top" textRotation="0" wrapText="1" indent="0" justifyLastLine="0" shrinkToFit="0" readingOrder="0"/>
    </dxf>
    <dxf>
      <font>
        <strike val="0"/>
        <outline val="0"/>
        <shadow val="0"/>
        <u val="none"/>
        <vertAlign val="baseline"/>
        <sz val="10"/>
        <color theme="1"/>
        <name val="Lora"/>
        <scheme val="none"/>
      </font>
      <alignment horizontal="left" vertical="top" textRotation="0" wrapText="1" indent="0" justifyLastLine="0" shrinkToFit="0" readingOrder="0"/>
    </dxf>
    <dxf>
      <font>
        <strike val="0"/>
        <outline val="0"/>
        <shadow val="0"/>
        <u val="none"/>
        <vertAlign val="baseline"/>
        <sz val="10"/>
        <color theme="1"/>
        <name val="Lora"/>
        <scheme val="none"/>
      </font>
      <alignment horizontal="left" vertical="top" textRotation="0" wrapText="1" indent="0" justifyLastLine="0" shrinkToFit="0" readingOrder="0"/>
    </dxf>
    <dxf>
      <font>
        <strike val="0"/>
        <outline val="0"/>
        <shadow val="0"/>
        <u val="none"/>
        <vertAlign val="baseline"/>
        <sz val="10"/>
        <color theme="1"/>
        <name val="Lora"/>
        <scheme val="none"/>
      </font>
      <alignment horizontal="left" vertical="top" textRotation="0" wrapText="1" indent="0" justifyLastLine="0" shrinkToFit="0" readingOrder="0"/>
    </dxf>
    <dxf>
      <font>
        <strike val="0"/>
        <outline val="0"/>
        <shadow val="0"/>
        <u val="none"/>
        <vertAlign val="baseline"/>
        <sz val="10"/>
        <color theme="1"/>
        <name val="Lora"/>
        <scheme val="none"/>
      </font>
      <alignment horizontal="left" vertical="top" textRotation="0" wrapText="1" indent="0" justifyLastLine="0" shrinkToFit="0" readingOrder="0"/>
    </dxf>
    <dxf>
      <font>
        <strike val="0"/>
        <outline val="0"/>
        <shadow val="0"/>
        <u val="none"/>
        <vertAlign val="baseline"/>
        <sz val="10"/>
        <color theme="1"/>
        <name val="Lora"/>
        <scheme val="none"/>
      </font>
      <alignment horizontal="left" vertical="top" textRotation="0" wrapText="1" indent="0" justifyLastLine="0" shrinkToFit="0" readingOrder="0"/>
    </dxf>
    <dxf>
      <font>
        <strike val="0"/>
        <outline val="0"/>
        <shadow val="0"/>
        <u val="none"/>
        <vertAlign val="baseline"/>
        <sz val="11"/>
        <color theme="1"/>
        <name val="Poppins Regular"/>
        <scheme val="none"/>
      </font>
    </dxf>
    <dxf>
      <font>
        <strike val="0"/>
        <outline val="0"/>
        <shadow val="0"/>
        <u val="none"/>
        <vertAlign val="baseline"/>
        <sz val="12"/>
        <color theme="1"/>
        <name val="Aptos"/>
        <family val="2"/>
        <scheme val="none"/>
      </font>
      <alignment horizontal="general" vertical="bottom" textRotation="0" wrapText="1" indent="0" justifyLastLine="0" shrinkToFit="0" readingOrder="0"/>
    </dxf>
    <dxf>
      <font>
        <strike val="0"/>
        <outline val="0"/>
        <shadow val="0"/>
        <u val="none"/>
        <vertAlign val="baseline"/>
        <sz val="12"/>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family val="2"/>
        <scheme val="none"/>
      </font>
      <numFmt numFmtId="0" formatCode="General"/>
      <alignment horizontal="general" vertical="bottom" textRotation="0" wrapText="1" indent="0" justifyLastLine="0" shrinkToFit="0" readingOrder="0"/>
    </dxf>
    <dxf>
      <font>
        <strike val="0"/>
        <outline val="0"/>
        <shadow val="0"/>
        <u val="none"/>
        <vertAlign val="baseline"/>
        <sz val="12"/>
        <color theme="1"/>
        <name val="Aptos"/>
        <family val="2"/>
        <scheme val="none"/>
      </font>
      <alignment horizontal="general" vertical="bottom" textRotation="0" wrapText="1" indent="0" justifyLastLine="0" shrinkToFit="0" readingOrder="0"/>
    </dxf>
    <dxf>
      <font>
        <strike val="0"/>
        <outline val="0"/>
        <shadow val="0"/>
        <u val="none"/>
        <vertAlign val="baseline"/>
        <sz val="10"/>
        <color theme="1"/>
        <name val="Aptos"/>
        <family val="2"/>
        <scheme val="none"/>
      </font>
      <alignment horizontal="general" vertical="bottom" textRotation="0" wrapText="1" indent="0" justifyLastLine="0" shrinkToFit="0" readingOrder="0"/>
    </dxf>
    <dxf>
      <font>
        <strike val="0"/>
        <outline val="0"/>
        <shadow val="0"/>
        <u val="none"/>
        <vertAlign val="baseline"/>
        <sz val="12"/>
        <color theme="1"/>
        <name val="Aptos"/>
        <family val="2"/>
        <scheme val="none"/>
      </font>
      <alignment horizontal="general" vertical="bottom" textRotation="0" wrapText="1" indent="0" justifyLastLine="0" shrinkToFit="0" readingOrder="0"/>
    </dxf>
    <dxf>
      <font>
        <strike val="0"/>
        <outline val="0"/>
        <shadow val="0"/>
        <u val="none"/>
        <vertAlign val="baseline"/>
        <sz val="12"/>
        <color theme="1"/>
        <name val="Aptos"/>
        <family val="2"/>
        <scheme val="none"/>
      </font>
      <alignment horizontal="general" vertical="bottom" textRotation="0" wrapText="1" indent="0" justifyLastLine="0" shrinkToFit="0" readingOrder="0"/>
    </dxf>
    <dxf>
      <font>
        <strike val="0"/>
        <outline val="0"/>
        <shadow val="0"/>
        <u val="none"/>
        <vertAlign val="baseline"/>
        <sz val="12"/>
        <color theme="1"/>
        <name val="Aptos"/>
        <family val="2"/>
        <scheme val="none"/>
      </font>
      <alignment horizontal="general" vertical="bottom" textRotation="0" wrapText="1" indent="0" justifyLastLine="0" shrinkToFit="0" readingOrder="0"/>
    </dxf>
    <dxf>
      <font>
        <strike val="0"/>
        <outline val="0"/>
        <shadow val="0"/>
        <u val="none"/>
        <vertAlign val="baseline"/>
        <sz val="12"/>
        <color theme="1"/>
        <name val="Aptos"/>
        <family val="2"/>
        <scheme val="none"/>
      </font>
      <alignment horizontal="general" vertical="bottom" textRotation="0" wrapText="1" indent="0" justifyLastLine="0" shrinkToFit="0" readingOrder="0"/>
    </dxf>
    <dxf>
      <font>
        <strike val="0"/>
        <outline val="0"/>
        <shadow val="0"/>
        <u val="none"/>
        <vertAlign val="baseline"/>
        <sz val="12"/>
        <color theme="1"/>
        <name val="Aptos"/>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88.48806909722" createdVersion="8" refreshedVersion="8" minRefreshableVersion="3" recordCount="31" xr:uid="{F4E52CFD-B36B-40A8-968C-94DDB386E544}">
  <cacheSource type="worksheet">
    <worksheetSource name="Features"/>
  </cacheSource>
  <cacheFields count="12">
    <cacheField name="Id" numFmtId="0">
      <sharedItems/>
    </cacheField>
    <cacheField name="Area" numFmtId="0">
      <sharedItems count="6">
        <s v="Reactivos Químicos"/>
        <s v="Acceso y Seguridad"/>
        <s v="Navegación y UX"/>
        <s v="Agentes IA"/>
        <s v="Citizen Development"/>
        <s v="Dashboards y Gobernanza"/>
      </sharedItems>
    </cacheField>
    <cacheField name="Feature" numFmtId="0">
      <sharedItems count="31">
        <s v="Carga de Documentos PDF Pre-digitalizados"/>
        <s v="Extracción Estructura 8 Apartados (PoC Validado)"/>
        <s v="Manejo de Apartados con Resultados Variables"/>
        <s v="Generación de Output Estructurado con Preservación de Formato"/>
        <s v="Procesamiento de Múltiples Ficheros con Modelo Pay-Per-Use"/>
        <s v="Control de Acceso Restringido y Auditoría Completa"/>
        <s v="Pantalla Supervisión Reactivos Químicos"/>
        <s v="Refinamiento Iterativo de Resultados con el Agente"/>
        <s v="Acceso sin credenciales adicionales"/>
        <s v="Integración con Microsoft Teams y weConnect"/>
        <s v="Sistema de roles con permisos diferenciados"/>
        <s v="Navegación y búsqueda de agentes en el portal"/>
        <s v="Ficha de Agente: Metadatos y Categorización"/>
        <s v="Soporte multiidioma"/>
        <s v="Comportamiento base compartido por agentes genéricos"/>
        <s v="Provisión de 10 agentes genéricos preconfigurados"/>
        <s v="Interacción conversacional con agentes IA"/>
        <s v="Generación de documentos descargables como salida"/>
        <s v="Selección de prompts predefinidos"/>
        <s v="Sistema de agentes favoritos"/>
        <s v="Gestión de prompts personales"/>
        <s v="Creación y gestión de agentes contextuales"/>
        <s v="Configuración Contexto SharePoint"/>
        <s v="Indexación y Refresco Contexto"/>
        <s v="Gestión Ciclo Vida y Control Agentes"/>
        <s v="Notificación Límites Contexto"/>
        <s v="Email Diario Admin Agentes Creados"/>
        <s v="Dashboard de Uso y Análisis de Adopción"/>
        <s v="Dashboard de consumos de tokens y costes"/>
        <s v="Alertas de Consumo Azure AI Foundry"/>
        <s v="Integración Purview Etiquetas Sensibilidad"/>
      </sharedItems>
    </cacheField>
    <cacheField name="Description" numFmtId="0">
      <sharedItems longText="1"/>
    </cacheField>
    <cacheField name="Component" numFmtId="0">
      <sharedItems/>
    </cacheField>
    <cacheField name="Impact" numFmtId="0">
      <sharedItems containsNonDate="0" containsString="0" containsBlank="1"/>
    </cacheField>
    <cacheField name="Easiness" numFmtId="0">
      <sharedItems containsNonDate="0" containsString="0" containsBlank="1"/>
    </cacheField>
    <cacheField name="Priority" numFmtId="0">
      <sharedItems/>
    </cacheField>
    <cacheField name="Design Status" numFmtId="0">
      <sharedItems/>
    </cacheField>
    <cacheField name="Release" numFmtId="0">
      <sharedItems containsBlank="1"/>
    </cacheField>
    <cacheField name="Validation Status" numFmtId="0">
      <sharedItems/>
    </cacheField>
    <cacheField name="Requirement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FT.01"/>
    <x v="0"/>
    <x v="0"/>
    <s v="Cuando el usuario autorizado accede al Agente de Reactivos Químicos desde cualquiera de los canales habilitados (portal web, Microsoft Teams o weConnect) y selecciona la opción de procesar documento, el sistema permite la carga de archivos de métodos analíticos químicos procedentes en hasta 100 variables de formato distintas._x000a__x000a_El sistema valida que el formato del archivo cargado es compatible con los tipos soportados (¿PDF, Word? → Definir en Discovery) y que el tamaño no excede los 200MB establecidos como límite. Una vez validado el archivo, la carga se integra automáticamente con Azure AI Document Intelligence para el posterior procesamiento estructurado del documento._x000a__x000a_Los documentos procesados corresponden a métodos analíticos químicos que contienen información técnica estructurada en apartados específicos (objetivo, reactivos, equipamiento, condiciones cromatográficas, preparación de muestras, secuencia de inyección, sistema de idoneidad y cálculos)."/>
    <s v="Agentes"/>
    <m/>
    <m/>
    <s v="Must have"/>
    <s v="Pending"/>
    <s v="Beta 1"/>
    <s v="Pending"/>
    <s v="RQ.01"/>
  </r>
  <r>
    <s v="FT.02"/>
    <x v="0"/>
    <x v="1"/>
    <s v="Cuando el usuario carga un documento de método analítico químico y solicita procesarlo, el sistema extrae la información organizada en 8 apartados especializados. Esta estructura fue validada en el PoC realizado por Esteve con Tokiota._x000a__x000a_Apartados a extraer:_x000a_- AIM - Objetivo del método_x000a_- REAGENTS - Reactivos y calidades_x000a_- EQUIPMENT - Instrumentos utilizados_x000a_- CHROMATOGRAPHIC CONDITIONS - Fases móviles y condiciones_x000a_- SAMPLE AND STANDARD PREPARATION - Preparación de muestras_x000a_- INJECTION SEQUENCE - Secuencia de inyecciones_x000a_- SYSTEM SUITABILITY - Parámetros de idoneidad_x000a_- CALCULATIONS - Criterios de cálculo_x000a__x000a_El sistema utiliza prompts especializados validados en el PoC que alcanzaron tasas de éxito del 93.5% con GPT-4o y 98.4% con Phi-4 sobre documentos reales de múltiples proveedores."/>
    <s v="Agentes"/>
    <m/>
    <m/>
    <s v="Must have"/>
    <s v="Pending"/>
    <s v="Beta 2"/>
    <s v="Pending"/>
    <s v="RQ.02A"/>
  </r>
  <r>
    <s v="FT.02B"/>
    <x v="0"/>
    <x v="2"/>
    <s v="Cuando el sistema completa la extracción de los 8 apartados (FT.02), el usuario visualiza los resultados obtenidos._x000a__x000a_El sistema replica el proceso validado en el PoC de ESTEVE utilizando los prompts predefinidos. Los resultados pueden variar según la estructura y formato del documento origen de cada cliente._x000a__x000a_El usuario revisa los apartados extraídos. Si detecta información que requiere ajuste, puede continuar la conversación con el agente para refinar el resultado (ver FT.07)._x000a__x000a_Comments (contexto técnico interno):_x000a_PoC Tokiota identificó variabilidad en ciertos apartados:_x000a_- REAGENTS: posible redundancia en algunos documentos_x000a_- EQUIPMENT: formatos variables según proveedor_x000a__x000a_TBD Marc/Eduard: criterios de comportamiento esperado en estos casos."/>
    <s v="Agentes"/>
    <m/>
    <m/>
    <s v="Must have"/>
    <s v="Pending"/>
    <s v="Beta 3"/>
    <s v="Pending"/>
    <s v="RQ.02B"/>
  </r>
  <r>
    <s v="FT.03"/>
    <x v="0"/>
    <x v="3"/>
    <s v="Cuando el usuario solicita procesar un documento de método analítico, el sistema extrae la información de los 8 apartados y genera un documento de salida en formato texto plano (.txt) con estructura enriquecida._x000a__x000a_Estructura del documento generado:_x000a_- Cabeceras jerárquicas por apartado (AIM, REAGENTS, EQUIPMENT, etc.)_x000a_- Fórmulas químicas como texto (ejemplo: H₂O)_x000a_- Información tabular representada mediante texto estructurado con separadores claros_x000a_- Secciones y sub-secciones indicadas mediante cabeceras_x000a__x000a_El usuario descarga el documento generado desde la interfaz conversacional_x000a__x000a_TBDs Discovery:_x000a_- Validar con 3-5 samples reales si formato texto plano cumple expectativas usuario_x000a_- Si cliente requiere formato avanzado (tablas preservadas), evaluar cambio a DOCX (fuera alcance propuesta actual)"/>
    <s v="Agentes"/>
    <m/>
    <m/>
    <s v="Must have"/>
    <s v="Pending"/>
    <m/>
    <s v="Pending"/>
    <s v="RQ.03"/>
  </r>
  <r>
    <s v="FT.04"/>
    <x v="0"/>
    <x v="4"/>
    <s v="Cuando el usuario carga múltiples documentos de métodos analíticos, el sistema procesa cada documento de forma escalable sin límites de volumen operativo._x000a__x000a_El sistema soporta hasta 100 variaciones de formato documental de diferentes clientes (tipos de documento entrenados en el modelo)._x000a__x000a_Tecnologías:_x000a_- Azure AI Document Intelligence (OCR y procesamiento)_x000a_- Azure AI Foundry (extracción con prompts especializados)_x000a__x000a_El consumo de recursos se factura según uso real (modelo pay-per-use). El usuario con rol Administrador monitoriza el consumo y presupuesto en tiempo real desde el dashboard de consumos (FT.28)."/>
    <s v="Agentes"/>
    <m/>
    <m/>
    <s v="Must have"/>
    <s v="Pending"/>
    <s v="Beta 2"/>
    <s v="Pending"/>
    <s v="RQ.04"/>
  </r>
  <r>
    <s v="FT.05"/>
    <x v="0"/>
    <x v="5"/>
    <s v="Cuando un usuario accede al Portal, el sistema muestra únicamente los agentes para los que está autorizado según su pertenencia a grupos de Active Directory. El agente Reactivos Químicos es visible solo para usuarios del grupo AD autorizado._x000a__x000a_Auditoría de operaciones:_x000a_El sistema registra automáticamente cada operación de procesamiento con los siguientes campos:_x000a_- Usuario que ejecutó la operación_x000a_- Fecha y hora (timestamp)_x000a_- Canal de acceso (Portal web / Teams / weConnect)_x000a_- Agente utilizado_x000a_- Documento de entrada procesado_x000a_- Documento de salida generado_x000a_- Resultado de la operación (éxito / error)_x000a__x000a_El Administrador accede a los registros de auditoría desde el dashboard de gobernanza (ver FT.27)._x000a__x000a_TBD Discovery:_x000a_- Grupo AD específico para acceso a Reactivos Químicos"/>
    <s v="Agentes"/>
    <m/>
    <m/>
    <s v="Must have"/>
    <s v="Pending"/>
    <s v="Beta 3"/>
    <s v="Pending"/>
    <s v="RQ.05"/>
  </r>
  <r>
    <s v="FT.06"/>
    <x v="0"/>
    <x v="6"/>
    <s v="Cuando un usuario con rol Administrador o usuario autorizado de supervisión del área de Reactivos Químicos accede a la pantalla de supervisión del Agente, el sistema muestra el listado de conversaciones realizadas con el agente._x000a__x000a_Información del listado:_x000a_- Usuario que ejecutó la conversación_x000a_- Fecha y hora_x000a_- Documento procesado_x000a_- Estado del resultado (completado / en curso / con errores)_x000a__x000a_Al seleccionar una conversación, el sistema visualiza:_x000a_- Historial completo de intercambios (consulta usuario → respuesta agente)_x000a_- Documento base procesado (con opción de descarga)_x000a_- Resultados de extracción generados_x000a__x000a_Filtros disponibles: rango de fechas, usuario, documento procesado, estado del resultado._x000a__x000a_Funcionalidad complementaria: El supervisor puede exportar el listado filtrado para análisis offline._x000a__x000a_Esta pantalla permite supervisión operativa y optimización iterativa del agente. Complementa la auditoría de operaciones del FT.05._x000a__x000a_TBD Discovery:_x000a_- Rol/grupo AD específico para supervisión de Reactivos Químicos_x000a_- Formato de exportación (CSV, Excel)"/>
    <s v="Agentes"/>
    <m/>
    <m/>
    <s v="Must have"/>
    <s v="Pending"/>
    <s v="Beta 1"/>
    <s v="Pending"/>
    <s v="RQ.06"/>
  </r>
  <r>
    <s v="FT.07"/>
    <x v="0"/>
    <x v="7"/>
    <s v="Cuando el agente genera el resultado inicial estructurado en los 8 apartados, el usuario puede continuar la conversación para refinar el resultado mediante lenguaje natural, sin necesidad de re-procesar el documento completo._x000a__x000a_El sistema mantiene el contexto conversacional completo:_x000a_- Documento original procesado_x000a_- Extracciones previas por apartado_x000a_- Refinamientos realizados en la sesión_x000a__x000a_Esto permite ajustes iterativos como: corregir apartados específicos, resolver redundancias (ej. REAGENTS) o normalizar formatos variables (ej. EQUIPMENT)._x000a__x000a_Al finalizar los ajustes, el usuario descarga el documento actualizado (ver FT.03)._x000a__x000a_Nota: Los apartados REAGENTS y EQUIPMENT presentaron mayor variabilidad en el PoC; el refinamiento conversacional mitiga estos casos."/>
    <s v="Agentes"/>
    <m/>
    <m/>
    <s v="Could have"/>
    <s v="Pending"/>
    <m/>
    <s v="Pending"/>
    <s v="RQ.07"/>
  </r>
  <r>
    <s v="FT.08"/>
    <x v="1"/>
    <x v="8"/>
    <s v="Cuando un empleado de Esteve accede al Portal de Agentes IA desde cualquier canal (Microsoft Teams o weConnect), el sistema permite el acceso sin solicitar credenciales adicionales, aprovechando la autenticación única (SSO) con Microsoft Entra ID ya configurada en el entorno corporativo. El sistema reconoce automáticamente la identidad del usuario mediante su sesión activa de Microsoft 365, eliminando la necesidad de introducir usuario y contraseña adicionales._x000a__x000a_El acceso se integra con las políticas de seguridad empresariales existentes, incluyendo autenticación multifactor (MFA) si está configurada por Esteve y políticas de acceso condicional (Conditional Access) para garantizar que solo dispositivos corporativos gestionados o dispositivos que cumplan con las políticas de compliance pueden acceder al portal. Esto proporciona una experiencia de usuario sin fricciones manteniendo los estándares de seguridad empresariales."/>
    <s v="Portal"/>
    <m/>
    <m/>
    <s v="Must have"/>
    <s v="Pending"/>
    <s v="Beta 3"/>
    <s v="Pending"/>
    <s v="RQ.08"/>
  </r>
  <r>
    <s v="FT.09"/>
    <x v="1"/>
    <x v="9"/>
    <s v="Cuando un empleado de Esteve necesita acceder al Portal de Agentes IA, el sistema está disponible mediante dos canales principales de acceso corporativo: la aplicación de Microsoft Teams y la intranet corporativa weConnect._x000a__x000a_Cuando el usuario accede desde Microsoft Teams, el sistema se integra como aplicación nativa de Teams, aprovechando la sesión activa de Microsoft 365 del usuario sin solicitar credenciales adicionales (ver FT.08). El usuario localiza el portal mediante búsqueda de aplicaciones o mediante el catálogo de aplicaciones de Teams._x000a__x000a_Cuando el usuario accede desde weConnect (intranet corporativa de Esteve), el sistema se integra mediante iframe embebido o enlace directo, manteniendo igualmente la sesión SSO de Microsoft 365 sin requerir autenticación adicional._x000a__x000a_Ambos canales proporcionan experiencia de usuario equivalente en funcionalidades core (acceso agentes, historial conversaciones, favoritos), aunque la interfaz se adapta al contenedor (ventana Teams vs navegador weConnect)."/>
    <s v="Portal"/>
    <m/>
    <m/>
    <s v="Must have"/>
    <s v="Pending"/>
    <s v="Go Live"/>
    <s v="Pending"/>
    <s v="RQ.09"/>
  </r>
  <r>
    <s v="FT.10"/>
    <x v="1"/>
    <x v="10"/>
    <s v="Cuando el sistema valida la identidad de un usuario autenticado, el sistema asigna automáticamente uno de tres roles funcionales según su pertenencia a grupos de Active Directory._x000a__x000a_Cuando un usuario tiene rol de Usuario, el sistema permite usar agentes disponibles según audiencias asignadas, consultar historial conversaciones propias, guardar prompts personales y marcar favoritos._x000a__x000a_Cuando un usuario tiene rol de Gestor Agentes, el sistema habilita además la creación de agentes contextuales mediante wizard autónomo, publicación/despublicación de agentes creados, configuración de audiencias (grupos AD) para agentes propios, y gestión de hasta 3 bibliotecas SharePoint como contextos._x000a__x000a_Cuando un usuario tiene rol de Administrador, el sistema proporciona control total de la plataforma incluyendo dashboards consumos/uso, configuración alertas presupuestarias, gestión centralizada de todos los agentes (edición, desactivación), y acceso completo a logs auditoría."/>
    <s v="Portal"/>
    <m/>
    <m/>
    <s v="Must have"/>
    <s v="Pending"/>
    <m/>
    <s v="Pending"/>
    <s v="RQ.10"/>
  </r>
  <r>
    <s v="FT.11"/>
    <x v="2"/>
    <x v="11"/>
    <s v="Cuando un usuario accede al Portal de Agentes IA desde Microsoft Teams o desde la intranet corporativa weconnect, el sistema muestra únicamente los agentes a los que tiene acceso según su pertenencia a grupos de Active Directory definidos como audiencias._x000a__x000a_El sistema permite búsqueda activa de agentes por nombre y descripción, facilitando la localización rápida en catálogos extensos._x000a__x000a_El sistema permite ordenar el listado de agentes disponibles según diferentes criterios:_x000a_- Alfabético (A-Z, Z-A)_x000a_- Por uso reciente del usuario_x000a_- Por popularidad (agentes más utilizados globalmente)_x000a__x000a_Por defecto, el catálogo muestra los agentes ordenados alfabéticamente. El usuario selecciona el criterio de ordenación desde un selector visible en la cabecera del listado._x000a__x000a_Cuando el usuario identifica agentes de uso frecuente, el sistema permite marcarlos como favoritos para acceso rápido posterior. El sistema proporciona acceso al historial completo de conversaciones personalizado de cada usuario, organizado cronológicamente y vinculado al agente correspondiente."/>
    <s v="Portal"/>
    <m/>
    <m/>
    <s v="Must have"/>
    <s v="Pending"/>
    <m/>
    <s v="Pending"/>
    <s v="RQ.11"/>
  </r>
  <r>
    <s v="FT.12"/>
    <x v="2"/>
    <x v="12"/>
    <s v="Cuando el sistema muestra un agente en el catálogo del Portal, presenta información básica que facilita su comprensión y uso por parte del usuario._x000a__x000a_La información básica a mostrar incluye:_x000a_- Nombre del agente_x000a_- Propietario (para agentes contextuales creados por Gestores)_x000a_- Tipología_x000a_- Descripción funcional_x000a_- Contexto asociado (si aplica)_x000a_- Modelo utilizado_x000a__x000a_Esta información es administrada mediante el Gestor de Agentes para agentes contextuales (FT.21), y predefinida por IT para agentes genéricos y especializados._x000a__x000a_El diseño visual del catálogo se integra con la estética corporativa de weConnect en los aspectos básicos de la UI."/>
    <s v="Portal"/>
    <m/>
    <m/>
    <s v="Must have"/>
    <s v="Pending"/>
    <m/>
    <s v="Pending"/>
    <s v="RQ.12"/>
  </r>
  <r>
    <s v="FT.13"/>
    <x v="1"/>
    <x v="13"/>
    <s v="Cuando un usuario accede al Portal de Agentes IA, el sistema permite seleccionar el idioma de la interfaz de usuario entre 6 idiomas:_x000a_- Español (ES)_x000a_- Inglés (EN)_x000a_- Alemán (DE)_x000a_- Chino (ZH)_x000a_- Portugués (PT)_x000a_- Francés (FR)._x000a__x000a_Cuando el usuario selecciona un idioma, el sistema aplica la traducción a todos los elementos de interfaz: menús de navegación, botones, etiquetas de campos, mensajes de error, tooltips, y textos estáticos del portal._x000a__x000a_El sistema persiste la preferencia de idioma del usuario entre sesiones, almacenándola en su perfil de usuario. Si el usuario no ha seleccionado idioma previamente, el sistema aplica el idioma default configurado por el Administrador (típicamente español para Esteve España)."/>
    <s v="Portal"/>
    <m/>
    <m/>
    <s v="Must have"/>
    <s v="Pending"/>
    <m/>
    <s v="Pending"/>
    <s v="RQ.13"/>
  </r>
  <r>
    <s v="FT.14"/>
    <x v="3"/>
    <x v="14"/>
    <s v="Cuando un usuario interactúa con cualquiera de los 10 agentes genéricos del portal, el sistema proporciona capacidades conversacionales multiturno en lenguaje natural. El agente responde en el idioma de la consulta del usuario._x000a__x000a_El sistema selecciona modelo según especialización del agente:_x000a_- 9 agentes generalistas (Consulta Abierta, Traducción, Redactor Corporativo, Consulta Documentos, Resumen Ejecutivo, Revisor Estilo, Preparación Reuniones, Generador URS, Redactor RFPs)_x000a_- 1 agente especializado (Researcher para investigación avanzada)_x000a__x000a_Los agentes genéricos operan SIN contexto corporativo empresarial, basando respuestas únicamente en capacidades del modelo de lenguaje. Esto los diferencia de agentes contextuales (FT.21-FT.26) que acceden a bibliotecas SharePoint específicas._x000a__x000a_Cuando el agente genera documentos como salida (ejemplo: Redactor Corporativo), el usuario puede descargarlos (FT.17)._x000a__x000a_Gestión de disponibilidad:_x000a_Cuando el sistema experimenta alta demanda, muestra un mensaje informativo al usuario y permite reintentar la operación. El portal muestra un aviso visible indicando que las respuestas de IA son orientativas y requieren validación del usuario._x000a__x000a_TBDs Discovery:_x000a_- Prompts sistema predefinidos por agente_x000a_- Formato documentos salida (DOCX, .txt)_x000a_- Ubicación del disclaimer de IA (footer, modal inicial)"/>
    <s v="Agentes"/>
    <m/>
    <m/>
    <s v="Must have"/>
    <s v="Pending"/>
    <m/>
    <s v="Pending"/>
    <s v="RQ.14"/>
  </r>
  <r>
    <s v="FT.15"/>
    <x v="3"/>
    <x v="15"/>
    <s v="Cuando se despliega el Portal de Agentes IA en Release #3, el sistema incluye 10 agentes genéricos configurados para uso de los empleados Esteve (según audiencias definidas). Cada agente tiene prompt del sistema específico validado y descripción funcional visible en catálogo portal._x000a__x000a_Agentes incluidos:_x000a_1. Consulta Abierta - generalista sin especialización_x000a_2. Traducción - tono corporativo profesional_x000a_3. Consulta Documentos - análisis hasta 3 documentos_x000a_4. Redactor Corporativo - correos, comunicados, informes_x000a_5. Resumen Ejecutivo - extracción bullets claros de textos largos_x000a_6. Revisor Estilo/Calidad - gramática, claridad y tono_x000a_7. Preparación Reuniones - agendas, puntos clave_x000a_8. Generador URS - User Requirements Specifications_x000a_9. Redactor RFPs - Request for Proposals estructurados_x000a__x000a_Agente especializado:_x000a_10. Researcher - Investigación especializada avanzada_x000a__x000a_TBDs Discovery:_x000a_- Prompts sistema específicos por agente_x000a_- Audiencias por defecto (¿todos empleados o segmentado?)"/>
    <s v="Agentes"/>
    <m/>
    <m/>
    <s v="Must have"/>
    <s v="Pending"/>
    <m/>
    <s v="Pending"/>
    <s v="RQ.15"/>
  </r>
  <r>
    <s v="FT.16"/>
    <x v="3"/>
    <x v="16"/>
    <s v="El portal permite a los usuarios interactuar con los agentes mediante conversaciones en lenguaje natural._x000a__x000a_Cuando el usuario envía una consulta, el sistema:_x000a_- Interpreta la consulta en lenguaje natural_x000a_- Genera respuesta basada en el modelo del agente (FT.14)_x000a_- Muestra respuesta en formato conversacional_x000a_- Mantiene contexto conversacional multiturno_x000a__x000a_El sistema mantiene historial de conversaciones personalizado por usuario (persistido entre sesiones)._x000a__x000a_El agente Consulta Documentos permite adjuntar hasta 3 archivos simultáneos en formatos: Word, PDF, TXT, Excel, PPT, JPG, GIF, PNG._x000a__x000a_Moderación de contenido:_x000a_El sistema aplica filtros en consultas y respuestas según políticas corporativas. Si detecta contenido que incumple las políticas (lenguaje inapropiado, información sensible, términos bloqueados), bloquea o redacta el contenido e informa al usuario._x000a__x000a_TBDs Discovery:_x000a_- Límites historial: número conversaciones, retención temporal_x000a_- Gestión conversaciones: crear nueva, renombrar, eliminar, compartir_x000a_- Categorías de contenido a filtrar y términos bloqueados (definir con Compliance Esteve)"/>
    <s v="Agentes"/>
    <m/>
    <m/>
    <s v="Must have"/>
    <s v="Pending"/>
    <m/>
    <s v="Pending"/>
    <s v="RQ.16"/>
  </r>
  <r>
    <s v="FT.17"/>
    <x v="3"/>
    <x v="17"/>
    <s v="Cuando un agente genera contenido estructurado como resultado de la conversación, el sistema permite al usuario descargar el resultado como documento._x000a__x000a_Los agentes que generan documentos según propuesta incluyen:_x000a_- Redactor Corporativo_x000a_- Generador URS_x000a_- Redactor RFPs_x000a_- Reactivos Químicos_x000a__x000a_El formato de documento se define durante Discovery según tipo de agente. Para agente Reactivos Químicos, el formato es texto plano enriquecido según propuesta línea 159._x000a__x000a_Cuando el usuario completa la conversación, el sistema proporciona opción de descarga del documento generado._x000a__x000a_TBDs Discovery:_x000a_- Formato descarga por tipo agente (definir en Discovery)"/>
    <s v="Agentes"/>
    <m/>
    <m/>
    <s v="Must have"/>
    <s v="Pending"/>
    <m/>
    <s v="Pending"/>
    <s v="RQ.17"/>
  </r>
  <r>
    <s v="FT.18"/>
    <x v="3"/>
    <x v="18"/>
    <s v="Cuando un usuario inicia una conversación con un agente, el sistema pone a disposición hasta 3 prompts predefinidos configurados para ese agente. El usuario puede seleccionar uno de estos prompts predefinidos o escribir consulta libre en lenguaje natural._x000a__x000a_Para agentes genéricos (10 preconfigurados), los prompts predefinidos se configuran durante el despliegue. La definición específica de estos prompts se trabaja en sesiones Discovery con equipos Esteve._x000a__x000a_Para agentes contextuales (creados por Gestores vía wizard FT.21), el sistema permite configurar hasta 3 prompts predefinidos durante la creación del agente._x000a__x000a_Los prompts predefinidos son independientes de la biblioteca de prompts personales del usuario (FT.20), donde cada usuario almacena y recupera sus propios prompts creados._x000a__x000a_TBDs Discovery:_x000a_- Contenido específico prompts por agente genérico (sesiones colaborativas Esteve)_x000a_- Mecanismo selección prompt por usuario (UX definir en Discovery)_x000a_- Límites caracteres por prompt predefinido"/>
    <s v="Agentes"/>
    <m/>
    <m/>
    <s v="Should have"/>
    <s v="Pending"/>
    <m/>
    <s v="Pending"/>
    <s v="RQ.18"/>
  </r>
  <r>
    <s v="FT.19"/>
    <x v="3"/>
    <x v="19"/>
    <s v="Cuando un usuario identifica agentes de uso frecuente, el sistema permite añadirlos a un listado personal de agentes favoritos para acceso rápido posterior._x000a__x000a_Cada usuario mantiene su propio listado de favoritos independiente de otros usuarios. El sistema persiste la lista de favoritos del usuario entre sesiones._x000a__x000a_Cuando el usuario accede al Portal, el sistema proporciona acceso rápido a los agentes marcados como favoritos, facilitando inicio de conversación sin necesidad de buscar en catálogo completo._x000a__x000a_El sistema permite añadir agentes a favoritos desde el catálogo y eliminar agentes de la lista de favoritos._x000a__x000a_TBDs Discovery:_x000a_- Límite máximo favoritos por usuario_x000a_- Mecanismo visualización favoritos (UX definir en sesiones)_x000a_- Mecanismo añadir/eliminar favoritos (UX definir en sesiones)"/>
    <s v="Portal"/>
    <m/>
    <m/>
    <s v="Should have"/>
    <s v="Pending"/>
    <m/>
    <s v="Pending"/>
    <s v="RQ.19"/>
  </r>
  <r>
    <s v="FT.20"/>
    <x v="3"/>
    <x v="20"/>
    <s v="Cuando un usuario utiliza un prompt en una conversación con un agente, el sistema permite guardar ese prompt en una biblioteca personal de prompts para reutilización futura._x000a__x000a_Cada prompt guardado pertenece exclusivamente al usuario que lo creó. Solo el creador tiene acceso a sus prompts personales._x000a__x000a_Cuando el usuario guarda un prompt, el sistema almacena: título del prompt, descripción del prompt, y texto completo del prompt. El prompt se guarda en el idioma en que fue escrito por el usuario (un idioma por prompt)._x000a__x000a_El sistema permite al usuario buscar en su biblioteca personal de prompts por descripción._x000a__x000a_Cuando el usuario desea reutilizar un prompt guardado, el sistema proporciona mecanismo para copiar el prompt desde la biblioteca a una conversación activa con un agente._x000a__x000a_TBDs Discovery:_x000a_- Límite máximo prompts por usuario_x000a_- Mecanismo copia prompt a conversación (UX definir en sesiones)"/>
    <s v="Portal"/>
    <m/>
    <m/>
    <s v="Should have"/>
    <s v="Pending"/>
    <m/>
    <s v="Pending"/>
    <s v="RQ.20"/>
  </r>
  <r>
    <s v="FT.21"/>
    <x v="4"/>
    <x v="21"/>
    <s v="Cuando un usuario con rol Gestor de Agentes accede a la herramienta de creación de agentes, el sistema proporciona un wizard autónomo para crear agentes contextuales sin intervención IT._x000a__x000a_Cuando el Gestor crea un agente contextual, el wizard solicita:_x000a_- nombre del agente, descripción, audiencia (grupos Active Directory)_x000a_- instrucciones (texto plano que predefine comportamiento)_x000a_- modelo de IA a utilizar (seleccionable entre los habilitados por el Administrador)_x000a_- hasta 3 prompts predefinidos (FT.18)_x000a_- hasta 3 bibliotecas SharePoint como contexto (FT.22)._x000a__x000a_Gobernanza y límites por Gestor:_x000a_El sistema aplica límites configurables por el Administrador para evitar saturación de la plataforma:_x000a_  - Número máximo de agentes creables por Gestor_x000a_  - Consumo máximo de tokens/mes por Gestor_x000a__x000a_El sistema permite al Gestor gestionar el ciclo de vida de sus agentes: publicar, despublicar, eliminar. La lista de agentes creados por el Gestor es accesible para administración._x000a__x000a_El sistema ejecuta un flujo Power Automate diario que identifica agentes creados en las últimas 24h e informa vía email al Administrador con: agentes generados, propietarios, audiencias, contextos._x000a__x000a_TBDs Discovery:_x000a_- Catálogo de modelos Azure OpenAI habilitados para selección en wizard_x000a_- Límites Gestor: máximo agentes creables, consumo tokens/mes"/>
    <s v="Portal"/>
    <m/>
    <m/>
    <s v="Must have"/>
    <s v="Pending"/>
    <m/>
    <s v="Pending"/>
    <s v="RQ.21"/>
  </r>
  <r>
    <s v="FT.22"/>
    <x v="4"/>
    <x v="22"/>
    <s v="Cuando un Gestor de Agentes crea un agente contextual mediante wizard (FT.21), el sistema permite seleccionar hasta 3 bibliotecas de SharePoint específicas que actúan como contexto documental del agente._x000a__x000a_Los agentes contextuales se diferencian de los 10 agentes genéricos del portal en que los contextuales acceden a información corporativa específica de las bibliotecas SharePoint seleccionadas._x000a__x000a_El sistema aplica límites por agente contextual: máximo 2000 ficheros o 5GB de contenido total, lo que se alcance primero. Los formatos de documento soportados son: Word, PDF, texto plano, Excel, PowerPoint, JPG, Git y PNG, con tamaño máximo de 200MB por fichero individual._x000a__x000a_Cuando un agente contextual alcanza los límites de 2000 ficheros o 5GB, el sistema genera alerta automática vía email al Gestor creador del agente, indicando necesidad de revisar contexto._x000a__x000a_TBDs Discovery:_x000a_- Mecanismo selección bibliotecas SharePoint en wizard_x000a_- Validación permisos Gestor sobre bibliotecas seleccionadas"/>
    <s v="Agentes"/>
    <m/>
    <m/>
    <s v="Must have"/>
    <s v="Pending"/>
    <m/>
    <s v="Pending"/>
    <s v="RQ.22"/>
  </r>
  <r>
    <s v="FT.23"/>
    <x v="4"/>
    <x v="23"/>
    <s v="Cuando un Gestor de Agentes configura contexto documental SharePoint (FT.22), el sistema procesa e indexa el contenido de forma asíncrona, sin bloquear la finalización del wizard de creación del agente._x000a__x000a_El sistema implementa refresco automático del contexto con periodicidad parametrizable por el Administrador. La granularidad mínima de refresco es 1 vez al día según propuesta._x000a__x000a_El procesamiento del contexto documental permite consultas semánticas durante conversaciones con el agente contextual. El tiempo de procesamiento varía según volumen de documentación indexada._x000a__x000a_Cada agente contextual mantiene su contexto separado de otros agentes, evitando cruce de información entre agentes distintos._x000a__x000a_TBDs Discovery:_x000a_- Opciones granularidad refresco disponibles (¿1 vez/día?)_x000a_- ¿Indicadores progreso indexación visible a Gestor?"/>
    <s v="Infraestructura"/>
    <m/>
    <m/>
    <s v="Must have"/>
    <s v="Pending"/>
    <m/>
    <s v="Pending"/>
    <s v="RQ.23"/>
  </r>
  <r>
    <s v="FT.24"/>
    <x v="4"/>
    <x v="24"/>
    <s v="Cuando un Gestor Agentes accede a la herramienta de gestión de agentes dentro del Portal, el sistema muestra una lista de agentes creados por el usuario Gestor (y aquellos en los que otro usuario lo haya definido como Gestor) para su administración._x000a__x000a_El sistema permite ejecutar acciones básicas del ciclo de vida sobre los agentes gestionados:_x000a__x000a_Acciones Gestor:_x000a_- Publicar: Hacer visible el agente a las audiencias definidas (grupos AD)_x000a_- Despublicar: Ocultar temporalmente el agente sin eliminarlo_x000a_- Eliminar: Borrar permanentemente el agente y su configuración_x000a__x000a_Acciones Administrador: Cuando los administradores necesitan controlar consumo de recursos Azure OpenAI, el sistema permite deshabilitar puntualmente ciertos agentes para limitar su uso, actuando sobre alertas de consumo recibidas._x000a__x000a_TBDs Discovery:_x000a_- UX lista agentes: tabla, cards, filtros disponibles_x000a_- Confirmación eliminación: modal, validación impacto usuarios activos_x000a_- Log auditoría: registro acciones ciclo vida para compliance"/>
    <s v="Portal"/>
    <m/>
    <m/>
    <s v="Must have"/>
    <s v="Pending"/>
    <m/>
    <s v="Pending"/>
    <s v="RQ.24"/>
  </r>
  <r>
    <s v="FT.25"/>
    <x v="4"/>
    <x v="25"/>
    <s v="Cuando un agente contextual alcanza los límites máximos definidos por contexto, el sistema ejecuta dos acciones:_x000a__x000a_Comportamiento sistema:_x000a_1. Detener indexación: Deja de indexar nueva documentación de las bibliotecas SharePoint asociadas_x000a_2. Notificar owner: Envía correo electrónico automático al propietario (owner) del agente informando del límite alcanzado_x000a__x000a_La notificación permite al Gestor Agentes tomar decisiones sobre la gestión del contexto documental: revisar documentos indexados, eliminar contenido obsoleto, o solicitar ampliación de límites a Administrador si justificado._x000a__x000a_TBDs Discovery:_x000a_- Contenido email: asunto, cuerpo, datos incluidos (agente, límite alcanzado)"/>
    <s v="Agentes"/>
    <m/>
    <m/>
    <s v="Should have"/>
    <s v="Pending"/>
    <m/>
    <s v="Pending"/>
    <s v="RQ.25"/>
  </r>
  <r>
    <s v="FT.26"/>
    <x v="4"/>
    <x v="26"/>
    <s v="Cuando se ejecuta el flujo programado de Power Automate una vez al día, el sistema envía un email consolidado al Administrador de Agentes IA con un listado de todos los agentes creados en el entorno Citizen Development durante el período diario._x000a__x000a_El email incluye información de los agentes generados y usuarios involucrados, detallando la misma información que se ha cargado al momento de la creación del Agente._x000a__x000a_Este requirement implementa notificación diaria mediante Power Automate, permitiendo al Administrador supervisar la actividad de creación de agentes en el entorno Citizen Development._x000a__x000a_Tecnologías: Power Automate (flujo programado)_x000a__x000a_TBDs Discovery:_x000a_- Horario ejecución flujo diario (8:00 AM, fin día 23:00?)_x000a_- Formato email: ¿tabla HTML, listado texto, archivo adjunto CSV?_x000a_- Campos exactos email: nombre agente, propietario, audiencia, contexto, timestamp_x000a_- Comportamiento si 0 agentes creados: ¿email vacío o sin envío?"/>
    <s v="Infraestructura"/>
    <m/>
    <m/>
    <s v="Must have"/>
    <s v="Pending"/>
    <m/>
    <s v="Pending"/>
    <s v="RQ.26"/>
  </r>
  <r>
    <s v="FT.27"/>
    <x v="5"/>
    <x v="27"/>
    <s v="Cuando un administrador accede al dashboard de uso (Panel 2 del BI), el sistema muestra métricas agregadas de adopción de la plataforma, complementando el dashboard de consumos (FT.28 - Panel 1)._x000a__x000a_El dashboard proporciona visibilidad de:_x000a_- Número de conversaciones agrupadas por agente (métricas agregadas)_x000a_- Total de accesos y usuarios activos por día_x000a_- Patrones de uso y popularidad de agentes_x000a__x000a_El dashboard permite análisis mediante filtros:_x000a_- Temporal: Rango de fechas personalizado_x000a_- Organizativo: Unidad organizativa según estructura Active Directory de Esteve (Site, Location, Area, Departamento)_x000a_- Origen: SharePoint y Teams_x000a__x000a_Diferenciación de paneles:_x000a_- FT.27 (Uso): Foco adopción (engagement, patrones uso, popularidad agentes)_x000a_- FT.28 (Consumos): Foco presupuestario (tokens, costes, alertas)_x000a__x000a_Nota técnica: Ambos paneles (Consumos + Uso) forman parte de la misma solución BI con paneles/pantallas diferenciados."/>
    <s v="Portal"/>
    <m/>
    <m/>
    <s v="Must have"/>
    <s v="Pending"/>
    <m/>
    <s v="Pending"/>
    <s v="RQ.27"/>
  </r>
  <r>
    <s v="FT.28"/>
    <x v="5"/>
    <x v="28"/>
    <s v="Cuando un usuario con rol Administrador accede al dashboard de consumos del portal, el sistema muestra métricas detalladas para control presupuestario del modelo pay-per-use escalable._x000a__x000a_El dashboard proporciona visibilidad de:_x000a_- Consumo de tokens de entrada y salida agrupado por agente individual_x000a_- Consumo en € agrupado por agente_x000a_- Consumo por persona_x000a__x000a_El dashboard permite análisis mediante filtros:_x000a_- Temporal: Rango de fechas personalizado_x000a_- Organizativo: Unidad organizativa según estructura Active Directory de Esteve (Site, Location, Area, Departamento)_x000a_- Origen: SharePoint y Teams_x000a__x000a_Separación Entornos: La propuesta especifica 2 recursos Azure AI Foundry distintos (Citizen Development + Método Analítico Reactivos Químicos). El dashboard permite separar costes por entorno para presupuestos independientes."/>
    <s v="Portal"/>
    <m/>
    <m/>
    <s v="Must have"/>
    <s v="Pending"/>
    <m/>
    <s v="Pending"/>
    <s v="RQ.28"/>
  </r>
  <r>
    <s v="FT.29"/>
    <x v="5"/>
    <x v="29"/>
    <s v="Cuando el consumo de servicios Azure OpenAI alcanza los límites configurados por Esteve, el sistema envía alertas automáticas vía correo electrónico a los administradores del sistema utilizando alertas nativas de Azure AI Foundry no desarrolladas por Raona._x000a__x000a_Cuando los administradores reciben una alerta de consumo, pueden actuar en consecuencia, por ejemplo limitando el uso de ciertos agentes mediante su deshabilitación puntual._x000a__x000a_El sistema genera alertas diferenciadas: una para los agentes del entorno Citizen Development y otra para el entorno Método Analítico (Reactivos Químicos)._x000a__x000a_TBD Discovery:_x000a_- Límites específicos por entorno (tokens/mes, €/mes, ambos)_x000a_- Umbrales alertas (50%, 80%, 100% del límite)_x000a_- Frecuencia verificación consumo (tiempo real, diaria, horaria)"/>
    <s v="Infraestructura"/>
    <m/>
    <m/>
    <s v="Must have"/>
    <s v="Pending"/>
    <m/>
    <s v="Pending"/>
    <s v="RQ.29"/>
  </r>
  <r>
    <s v="FT.30"/>
    <x v="5"/>
    <x v="30"/>
    <s v="Si Esteve tiene implementado Microsoft Purview como solución de etiquetado de información sensible, el sistema permite activar un control adicional en la ingesta de contextos documentales._x000a__x000a_Cuando este control está activado y el sistema procesa documentos para indexación (FT.23 indexación y refresco contexto), veta automáticamente documentos con ciertas etiquetas de sensibilidad configuradas (por ejemplo, &quot;Confidencial&quot;) para que no formen parte de los contextos de agentes._x000a__x000a_Esta funcionalidad es CONDICIONAL: solo aplica si Esteve ya utiliza Purview activamente para clasificar documentos. La integración evita que información especialmente sensible alimente a la IA por error y se integra con el gobierno del dato existente._x000a__x000a_Tecnologías: Microsoft Purview (si implementado por Esteve)_x000a__x000a_TBDs Discovery:_x000a_- Esteve tiene Purview implementado: ¿sí/no?_x000a_- Etiquetas sensibilidad a vetar: lista configurada por Admin_x000a_- Comportamiento veto: bloqueo silencioso vs notificación Gestor agente"/>
    <s v="Infraestructura"/>
    <m/>
    <m/>
    <s v="Could have"/>
    <s v="Pending"/>
    <m/>
    <s v="Pending"/>
    <s v="RQ.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5F8210-0BE5-4580-81CD-4D9CE4EE0C9F}" name="Tabla dinámica1" cacheId="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A33" firstHeaderRow="1" firstDataRow="1" firstDataCol="1"/>
  <pivotFields count="12">
    <pivotField compact="0" outline="0" showAll="0"/>
    <pivotField compact="0" outline="0" showAll="0" sortType="ascending">
      <items count="7">
        <item h="1" x="1"/>
        <item h="1" x="3"/>
        <item h="1" x="4"/>
        <item h="1" x="5"/>
        <item h="1" x="2"/>
        <item x="0"/>
        <item t="default"/>
      </items>
    </pivotField>
    <pivotField axis="axisRow" compact="0" outline="0" showAll="0">
      <items count="32">
        <item x="8"/>
        <item x="29"/>
        <item x="0"/>
        <item x="14"/>
        <item x="22"/>
        <item x="5"/>
        <item x="21"/>
        <item x="28"/>
        <item x="27"/>
        <item x="26"/>
        <item x="1"/>
        <item x="12"/>
        <item x="17"/>
        <item x="3"/>
        <item x="24"/>
        <item x="20"/>
        <item x="23"/>
        <item x="9"/>
        <item x="30"/>
        <item x="16"/>
        <item x="2"/>
        <item x="11"/>
        <item x="25"/>
        <item x="6"/>
        <item x="4"/>
        <item x="15"/>
        <item x="7"/>
        <item x="18"/>
        <item x="19"/>
        <item x="10"/>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9CA6C9-B98C-4238-BA46-3E4BFB4E6269}" name="Releases" displayName="Releases" ref="B9:I15" totalsRowShown="0" headerRowDxfId="40" dataDxfId="39">
  <autoFilter ref="B9:I15" xr:uid="{BA295162-1715-447B-ABDE-8DCC6068041B}"/>
  <tableColumns count="8">
    <tableColumn id="1" xr3:uid="{47263E0B-F4AA-4AFD-AFD9-3EF7E09E5FD8}" name="Id" dataDxfId="38"/>
    <tableColumn id="9" xr3:uid="{897046CD-4012-47A6-999C-FE4EDCE9FD85}" name="Release" dataDxfId="37"/>
    <tableColumn id="3" xr3:uid="{81BB6582-E375-4D2C-8F54-93007C79C080}" name="Release Name" dataDxfId="36"/>
    <tableColumn id="4" xr3:uid="{C2D8B3D3-A6BF-4DD5-9861-5D6D6A9D5441}" name="Description" dataDxfId="35"/>
    <tableColumn id="5" xr3:uid="{8623AEF7-1945-49D2-8259-429A5EC5FA56}" name="Feat. Included" dataDxfId="34"/>
    <tableColumn id="2" xr3:uid="{D55C8E49-C43D-4381-88DB-A914E33457A7}" name="Feat. Validated" dataDxfId="33">
      <calculatedColumnFormula>COUNTIFS(#REF!,"="&amp;$C10,#REF!,"=Approved")</calculatedColumnFormula>
    </tableColumn>
    <tableColumn id="6" xr3:uid="{02F23A1C-CAD3-4A8A-A02B-35978F0CFDF5}" name="Delivery Date" dataDxfId="32"/>
    <tableColumn id="7" xr3:uid="{69265F4A-1D13-429F-ADED-E1662FE65610}" name="Status" dataDxfId="31"/>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9CEFB9-09E4-4BA4-874F-F2D717E3076E}" name="Requirements" displayName="Requirements" ref="B8:L63" totalsRowShown="0" headerRowDxfId="30" dataDxfId="29">
  <autoFilter ref="B8:L63" xr:uid="{BA295162-1715-447B-ABDE-8DCC6068041B}"/>
  <tableColumns count="11">
    <tableColumn id="1" xr3:uid="{93604369-B60C-4002-A9FF-84A910FBEA28}" name="Id" dataDxfId="28"/>
    <tableColumn id="9" xr3:uid="{3B4F3795-BAC7-44AF-ACC1-FEE0210377C8}" name="Area" dataDxfId="27"/>
    <tableColumn id="2" xr3:uid="{DE39C985-18E9-4933-BCC8-0FF4B7034D63}" name="Requirement" dataDxfId="26"/>
    <tableColumn id="4" xr3:uid="{5CE7C540-75FD-4E94-9BBE-D8FA91647096}" name="Description" dataDxfId="25"/>
    <tableColumn id="3" xr3:uid="{6C78881C-603C-47AE-B91F-3083F4ED079C}" name="Type" dataDxfId="24"/>
    <tableColumn id="5" xr3:uid="{004F209E-9CB3-4B8B-9DF2-7531A8D37BFD}" name="Requester" dataDxfId="23"/>
    <tableColumn id="6" xr3:uid="{915ACE3B-DB3B-4FBF-995B-C86189A40D05}" name="Priority" dataDxfId="22"/>
    <tableColumn id="11" xr3:uid="{97670961-43FC-46F9-9789-D09CECE0F7E9}" name="Status" dataDxfId="21"/>
    <tableColumn id="10" xr3:uid="{36F6246D-A07B-4660-8BD4-6BB7B79D14E4}" name="Session" dataDxfId="20"/>
    <tableColumn id="8" xr3:uid="{39B3E8B1-01D5-4C5B-A90B-DB4B1ADF2A4D}" name="Feature" dataDxfId="19"/>
    <tableColumn id="7" xr3:uid="{1E073E08-0704-4DE9-A9D5-033CE26A39C0}" name="Comments" dataDxfId="18"/>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295162-1715-447B-ABDE-8DCC6068041B}" name="Features" displayName="Features" ref="B7:H38" totalsRowShown="0" headerRowDxfId="17" dataDxfId="16">
  <autoFilter ref="B7:H38" xr:uid="{BA295162-1715-447B-ABDE-8DCC6068041B}"/>
  <tableColumns count="7">
    <tableColumn id="1" xr3:uid="{2B70B681-6D72-404F-8482-0AA28E0AC040}" name="Id" dataDxfId="15"/>
    <tableColumn id="9" xr3:uid="{7ED332FA-4F82-44F7-AB4B-BA4104CE49C1}" name="Area" dataDxfId="14"/>
    <tableColumn id="13" xr3:uid="{ECC4A63E-722B-450D-8892-9C79D16B024D}" name="Feature" dataDxfId="13"/>
    <tableColumn id="3" xr3:uid="{4D684880-2AE4-42AE-921E-1A8C25957598}" name="User Story" dataDxfId="12"/>
    <tableColumn id="4" xr3:uid="{654200A9-55CA-4758-A310-7BFCE9BC78A8}" name="Description" dataDxfId="11"/>
    <tableColumn id="5" xr3:uid="{D40F6BD3-7839-4598-826C-EF2921097F20}" name="Component" dataDxfId="10"/>
    <tableColumn id="12" xr3:uid="{0A61848B-9289-4B05-992E-ADE0F0F8277C}" name="Comments" dataDxfId="9"/>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74FE48-60CA-45A7-B554-58D868A85279}" name="UATS" displayName="UATS" ref="B8:H24" totalsRowShown="0" headerRowDxfId="8" dataDxfId="7">
  <autoFilter ref="B8:H24" xr:uid="{BA295162-1715-447B-ABDE-8DCC6068041B}"/>
  <sortState xmlns:xlrd2="http://schemas.microsoft.com/office/spreadsheetml/2017/richdata2" ref="B9:H24">
    <sortCondition sortBy="icon" ref="G8:G24"/>
  </sortState>
  <tableColumns count="7">
    <tableColumn id="1" xr3:uid="{5E01CFAA-46AF-439F-880D-7CD8ADA302D8}" name="Id" dataDxfId="6"/>
    <tableColumn id="9" xr3:uid="{CD02C8A2-6AE9-40CE-B8F4-214AE3560F24}" name="Release" dataDxfId="5"/>
    <tableColumn id="3" xr3:uid="{C1A79994-C621-4543-BC08-2D984D112F32}" name="UAT Name" dataDxfId="4">
      <calculatedColumnFormula>_xlfn.CONCAT(UATS[[#This Row],[Type]]," UAT ",UATS[[#This Row],[Release]])</calculatedColumnFormula>
    </tableColumn>
    <tableColumn id="4" xr3:uid="{C39CAD21-8158-4BA5-A4A4-E93A9E123672}" name="Goals" dataDxfId="3"/>
    <tableColumn id="5" xr3:uid="{4BCBC720-BF42-4ACB-8053-257E07BAB9FF}" name="Type" dataDxfId="2"/>
    <tableColumn id="6" xr3:uid="{B4BDD243-6765-4252-BC16-C137BEC26679}" name="Status" dataDxfId="1"/>
    <tableColumn id="8" xr3:uid="{E8328273-D667-40A6-A347-D55095F14AD8}" name="Comments" dataDxfId="0"/>
  </tableColumns>
  <tableStyleInfo name="TableStyleMedium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882ED84-A83C-4A4B-B89E-03929E4FEB7F}">
  <we:reference id="wa200009404" version="1.0.0.4" store="en-US" storeType="OMEX"/>
  <we:alternateReferences>
    <we:reference id="WA200009404" version="1.0.0.4" store=""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07EE1-5501-43A0-A434-D77465EF1ADD}">
  <dimension ref="C2:H53"/>
  <sheetViews>
    <sheetView zoomScaleNormal="100" workbookViewId="0">
      <selection activeCell="D5" sqref="D5"/>
    </sheetView>
  </sheetViews>
  <sheetFormatPr baseColWidth="10" defaultColWidth="8.6640625" defaultRowHeight="15"/>
  <cols>
    <col min="3" max="3" width="31.5" customWidth="1"/>
    <col min="4" max="4" width="27.6640625" customWidth="1"/>
    <col min="5" max="8" width="22" customWidth="1"/>
  </cols>
  <sheetData>
    <row r="2" spans="3:8" ht="24">
      <c r="C2" s="3" t="s">
        <v>3</v>
      </c>
      <c r="D2" s="2"/>
      <c r="E2" s="2"/>
      <c r="F2" s="2"/>
      <c r="G2" s="2"/>
      <c r="H2" s="2"/>
    </row>
    <row r="3" spans="3:8" ht="16" thickBot="1">
      <c r="C3" s="2"/>
      <c r="D3" s="2"/>
      <c r="E3" s="2"/>
      <c r="F3" s="2"/>
      <c r="G3" s="2"/>
      <c r="H3" s="2"/>
    </row>
    <row r="4" spans="3:8" ht="17" thickBot="1">
      <c r="C4" s="14" t="s">
        <v>4</v>
      </c>
      <c r="D4" s="18" t="s">
        <v>5</v>
      </c>
      <c r="E4" s="2"/>
      <c r="F4" s="2"/>
      <c r="G4" s="14" t="s">
        <v>6</v>
      </c>
      <c r="H4" s="18" t="s">
        <v>7</v>
      </c>
    </row>
    <row r="5" spans="3:8" ht="17" thickBot="1">
      <c r="C5" s="14" t="s">
        <v>8</v>
      </c>
      <c r="D5" s="18" t="s">
        <v>9</v>
      </c>
      <c r="E5" s="2"/>
      <c r="F5" s="2"/>
      <c r="G5" s="14" t="s">
        <v>10</v>
      </c>
      <c r="H5" s="19"/>
    </row>
    <row r="6" spans="3:8">
      <c r="C6" s="2"/>
      <c r="D6" s="2"/>
      <c r="E6" s="2"/>
      <c r="F6" s="2"/>
      <c r="G6" s="2"/>
      <c r="H6" s="2"/>
    </row>
    <row r="7" spans="3:8">
      <c r="C7" s="2"/>
      <c r="D7" s="2"/>
      <c r="E7" s="2"/>
      <c r="F7" s="2"/>
      <c r="G7" s="2"/>
      <c r="H7" s="2"/>
    </row>
    <row r="8" spans="3:8" ht="24">
      <c r="C8" s="6" t="s">
        <v>11</v>
      </c>
      <c r="D8" s="7"/>
      <c r="E8" s="8"/>
      <c r="F8" s="8"/>
      <c r="G8" s="9"/>
      <c r="H8" s="2"/>
    </row>
    <row r="9" spans="3:8" ht="16">
      <c r="C9" s="10"/>
      <c r="D9" s="11" t="s">
        <v>12</v>
      </c>
      <c r="E9" s="11" t="s">
        <v>13</v>
      </c>
      <c r="F9" s="11" t="s">
        <v>14</v>
      </c>
      <c r="G9" s="11" t="s">
        <v>15</v>
      </c>
      <c r="H9" s="2"/>
    </row>
    <row r="10" spans="3:8" ht="16">
      <c r="C10" s="24" t="s">
        <v>1</v>
      </c>
      <c r="D10" s="36">
        <f>D17</f>
        <v>31</v>
      </c>
      <c r="E10" s="25">
        <f>E17</f>
        <v>31</v>
      </c>
      <c r="F10" s="25">
        <f>F17</f>
        <v>0</v>
      </c>
      <c r="G10" s="37">
        <f>G17+H17</f>
        <v>0</v>
      </c>
      <c r="H10" s="2"/>
    </row>
    <row r="11" spans="3:8" ht="16">
      <c r="C11" s="51" t="s">
        <v>16</v>
      </c>
      <c r="D11" s="52" t="e">
        <f>D30</f>
        <v>#REF!</v>
      </c>
      <c r="E11" s="53" t="e">
        <f t="shared" ref="E11:G11" si="0">E30</f>
        <v>#REF!</v>
      </c>
      <c r="F11" s="53" t="e">
        <f t="shared" si="0"/>
        <v>#REF!</v>
      </c>
      <c r="G11" s="54" t="e">
        <f t="shared" si="0"/>
        <v>#REF!</v>
      </c>
      <c r="H11" s="2"/>
    </row>
    <row r="12" spans="3:8" ht="16">
      <c r="C12" s="26" t="s">
        <v>17</v>
      </c>
      <c r="D12" s="41" t="e">
        <f>D42</f>
        <v>#REF!</v>
      </c>
      <c r="E12" s="27" t="e">
        <f t="shared" ref="E12:G12" si="1">E42</f>
        <v>#REF!</v>
      </c>
      <c r="F12" s="27" t="e">
        <f t="shared" si="1"/>
        <v>#REF!</v>
      </c>
      <c r="G12" s="38" t="e">
        <f t="shared" si="1"/>
        <v>#REF!</v>
      </c>
      <c r="H12" s="2"/>
    </row>
    <row r="13" spans="3:8" ht="16">
      <c r="C13" s="51" t="s">
        <v>2</v>
      </c>
      <c r="D13" s="55">
        <f>SUM(E13:G13)</f>
        <v>8</v>
      </c>
      <c r="E13" s="56">
        <f>COUNTIF(UATS[Status],"=Planned")</f>
        <v>8</v>
      </c>
      <c r="F13" s="56">
        <f>COUNTIF(UATS[Status],"=Validating")</f>
        <v>0</v>
      </c>
      <c r="G13" s="54">
        <f>COUNTIF(UATS[Status],"=Finished")</f>
        <v>0</v>
      </c>
      <c r="H13" s="2"/>
    </row>
    <row r="14" spans="3:8" ht="16">
      <c r="C14" s="28" t="s">
        <v>0</v>
      </c>
      <c r="D14" s="39">
        <f>SUM(E14:G14)</f>
        <v>5</v>
      </c>
      <c r="E14" s="29">
        <f>COUNTIF(Releases[Status],"=Planned")</f>
        <v>4</v>
      </c>
      <c r="F14" s="29">
        <f>COUNTIF(Releases[Status],"=Validating")</f>
        <v>0</v>
      </c>
      <c r="G14" s="40">
        <f>COUNTIF(Releases[Status],"=Finished")</f>
        <v>1</v>
      </c>
      <c r="H14" s="2"/>
    </row>
    <row r="15" spans="3:8">
      <c r="C15" s="2"/>
      <c r="D15" s="2"/>
      <c r="E15" s="2"/>
      <c r="F15" s="2"/>
      <c r="G15" s="2"/>
      <c r="H15" s="2"/>
    </row>
    <row r="16" spans="3:8">
      <c r="C16" s="2"/>
      <c r="D16" s="2"/>
      <c r="E16" s="2"/>
      <c r="F16" s="2"/>
      <c r="G16" s="2"/>
      <c r="H16" s="2"/>
    </row>
    <row r="17" spans="3:8" ht="19">
      <c r="C17" s="10" t="s">
        <v>1</v>
      </c>
      <c r="D17" s="23">
        <f>SUM(E17:H17)</f>
        <v>31</v>
      </c>
      <c r="E17" s="22">
        <f>COUNTIF(Requirements[Status],"="&amp;E18)</f>
        <v>31</v>
      </c>
      <c r="F17" s="22">
        <f>COUNTIF(Requirements[Status],"="&amp;F18)</f>
        <v>0</v>
      </c>
      <c r="G17" s="22">
        <f>COUNTIF(Requirements[Status],"="&amp;G18)</f>
        <v>0</v>
      </c>
      <c r="H17" s="22">
        <f>COUNTIF(Requirements[Status],"="&amp;H18)</f>
        <v>0</v>
      </c>
    </row>
    <row r="18" spans="3:8" ht="16">
      <c r="C18" s="10"/>
      <c r="D18" s="11" t="s">
        <v>12</v>
      </c>
      <c r="E18" s="11" t="s">
        <v>13</v>
      </c>
      <c r="F18" s="11" t="s">
        <v>18</v>
      </c>
      <c r="G18" s="11" t="s">
        <v>19</v>
      </c>
      <c r="H18" s="11" t="s">
        <v>20</v>
      </c>
    </row>
    <row r="19" spans="3:8">
      <c r="C19" s="30" t="s">
        <v>21</v>
      </c>
      <c r="D19" s="31"/>
      <c r="E19" s="32">
        <f>SUM(E20:E23)</f>
        <v>28</v>
      </c>
      <c r="F19" s="32">
        <f t="shared" ref="F19:H19" si="2">SUM(F20:F23)</f>
        <v>0</v>
      </c>
      <c r="G19" s="32">
        <f t="shared" si="2"/>
        <v>0</v>
      </c>
      <c r="H19" s="32">
        <f t="shared" si="2"/>
        <v>0</v>
      </c>
    </row>
    <row r="20" spans="3:8">
      <c r="C20" s="12"/>
      <c r="D20" s="2" t="s">
        <v>22</v>
      </c>
      <c r="E20" s="13">
        <f>COUNTIFS(Requirements[Type],"="&amp;$D20, Requirements[Status], "="&amp;E$18)</f>
        <v>6</v>
      </c>
      <c r="F20" s="13">
        <f>COUNTIFS(Requirements[Type],"="&amp;$D20, Requirements[Status], "="&amp;F$18)</f>
        <v>0</v>
      </c>
      <c r="G20" s="13">
        <f>COUNTIFS(Requirements[Type],"="&amp;$D20, Requirements[Status], "="&amp;G$18)</f>
        <v>0</v>
      </c>
      <c r="H20" s="13">
        <f>COUNTIFS(Requirements[Type],"="&amp;$D20, Requirements[Status], "="&amp;H$18)</f>
        <v>0</v>
      </c>
    </row>
    <row r="21" spans="3:8">
      <c r="C21" s="12"/>
      <c r="D21" s="2" t="s">
        <v>23</v>
      </c>
      <c r="E21" s="13">
        <f>COUNTIFS(Requirements[Type],"="&amp;$D21, Requirements[Status], "="&amp;E$18)</f>
        <v>17</v>
      </c>
      <c r="F21" s="13">
        <f>COUNTIFS(Requirements[Type],"="&amp;$D21, Requirements[Status], "="&amp;F$18)</f>
        <v>0</v>
      </c>
      <c r="G21" s="13">
        <f>COUNTIFS(Requirements[Type],"="&amp;$D21, Requirements[Status], "="&amp;G$18)</f>
        <v>0</v>
      </c>
      <c r="H21" s="13">
        <f>COUNTIFS(Requirements[Type],"="&amp;$D21, Requirements[Status], "="&amp;H$18)</f>
        <v>0</v>
      </c>
    </row>
    <row r="22" spans="3:8">
      <c r="C22" s="12"/>
      <c r="D22" s="2" t="s">
        <v>24</v>
      </c>
      <c r="E22" s="13">
        <f>COUNTIFS(Requirements[Type],"="&amp;$D22, Requirements[Status], "="&amp;E$18)</f>
        <v>5</v>
      </c>
      <c r="F22" s="13">
        <f>COUNTIFS(Requirements[Type],"="&amp;$D22, Requirements[Status], "="&amp;F$18)</f>
        <v>0</v>
      </c>
      <c r="G22" s="13">
        <f>COUNTIFS(Requirements[Type],"="&amp;$D22, Requirements[Status], "="&amp;G$18)</f>
        <v>0</v>
      </c>
      <c r="H22" s="13">
        <f>COUNTIFS(Requirements[Type],"="&amp;$D22, Requirements[Status], "="&amp;H$18)</f>
        <v>0</v>
      </c>
    </row>
    <row r="23" spans="3:8">
      <c r="C23" s="12"/>
      <c r="D23" s="2" t="s">
        <v>25</v>
      </c>
      <c r="E23" s="13">
        <f>COUNTIFS(Requirements[Type],"="&amp;$D23, Requirements[Status], "="&amp;E$18)</f>
        <v>0</v>
      </c>
      <c r="F23" s="13">
        <f>COUNTIFS(Requirements[Type],"="&amp;$D23, Requirements[Status], "="&amp;F$18)</f>
        <v>0</v>
      </c>
      <c r="G23" s="13">
        <f>COUNTIFS(Requirements[Type],"="&amp;$D23, Requirements[Status], "="&amp;G$18)</f>
        <v>0</v>
      </c>
      <c r="H23" s="13">
        <f>COUNTIFS(Requirements[Type],"="&amp;$D23, Requirements[Status], "="&amp;H$18)</f>
        <v>0</v>
      </c>
    </row>
    <row r="24" spans="3:8">
      <c r="C24" s="33" t="s">
        <v>26</v>
      </c>
      <c r="D24" s="34"/>
      <c r="E24" s="35">
        <f>SUM(E25:E28)</f>
        <v>31</v>
      </c>
      <c r="F24" s="35">
        <f t="shared" ref="F24" si="3">SUM(F25:F28)</f>
        <v>0</v>
      </c>
      <c r="G24" s="35">
        <f t="shared" ref="G24" si="4">SUM(G25:G28)</f>
        <v>0</v>
      </c>
      <c r="H24" s="35">
        <f t="shared" ref="H24" si="5">SUM(H25:H28)</f>
        <v>0</v>
      </c>
    </row>
    <row r="25" spans="3:8">
      <c r="C25" s="12"/>
      <c r="D25" s="2" t="s">
        <v>27</v>
      </c>
      <c r="E25" s="13">
        <f>COUNTIFS(Requirements[Priority],"="&amp;$D25, Requirements[Status], "="&amp;E$18)</f>
        <v>25</v>
      </c>
      <c r="F25" s="13">
        <f>COUNTIFS(Requirements[Priority],"="&amp;$D25, Requirements[Status], "="&amp;F$18)</f>
        <v>0</v>
      </c>
      <c r="G25" s="13">
        <f>COUNTIFS(Requirements[Priority],"="&amp;$D25, Requirements[Status], "="&amp;G$18)</f>
        <v>0</v>
      </c>
      <c r="H25" s="13">
        <f>COUNTIFS(Requirements[Priority],"="&amp;$D25, Requirements[Status], "="&amp;H$18)</f>
        <v>0</v>
      </c>
    </row>
    <row r="26" spans="3:8">
      <c r="C26" s="12"/>
      <c r="D26" s="2" t="s">
        <v>28</v>
      </c>
      <c r="E26" s="13">
        <f>COUNTIFS(Requirements[Priority],"="&amp;$D26, Requirements[Status], "="&amp;E$18)</f>
        <v>4</v>
      </c>
      <c r="F26" s="13">
        <f>COUNTIFS(Requirements[Priority],"="&amp;$D26, Requirements[Status], "="&amp;F$18)</f>
        <v>0</v>
      </c>
      <c r="G26" s="13">
        <f>COUNTIFS(Requirements[Priority],"="&amp;$D26, Requirements[Status], "="&amp;G$18)</f>
        <v>0</v>
      </c>
      <c r="H26" s="13">
        <f>COUNTIFS(Requirements[Priority],"="&amp;$D26, Requirements[Status], "="&amp;H$18)</f>
        <v>0</v>
      </c>
    </row>
    <row r="27" spans="3:8">
      <c r="C27" s="12"/>
      <c r="D27" s="2" t="s">
        <v>29</v>
      </c>
      <c r="E27" s="13">
        <f>COUNTIFS(Requirements[Priority],"="&amp;$D27, Requirements[Status], "="&amp;E$18)</f>
        <v>2</v>
      </c>
      <c r="F27" s="13">
        <f>COUNTIFS(Requirements[Priority],"="&amp;$D27, Requirements[Status], "="&amp;F$18)</f>
        <v>0</v>
      </c>
      <c r="G27" s="13">
        <f>COUNTIFS(Requirements[Priority],"="&amp;$D27, Requirements[Status], "="&amp;G$18)</f>
        <v>0</v>
      </c>
      <c r="H27" s="13">
        <f>COUNTIFS(Requirements[Priority],"="&amp;$D27, Requirements[Status], "="&amp;H$18)</f>
        <v>0</v>
      </c>
    </row>
    <row r="28" spans="3:8">
      <c r="C28" s="12"/>
      <c r="D28" s="2" t="s">
        <v>30</v>
      </c>
      <c r="E28" s="13">
        <f>COUNTIFS(Requirements[Priority],"="&amp;$D28, Requirements[Status], "="&amp;E$18)</f>
        <v>0</v>
      </c>
      <c r="F28" s="13">
        <f>COUNTIFS(Requirements[Priority],"="&amp;$D28, Requirements[Status], "="&amp;F$18)</f>
        <v>0</v>
      </c>
      <c r="G28" s="13">
        <f>COUNTIFS(Requirements[Priority],"="&amp;$D28, Requirements[Status], "="&amp;G$18)</f>
        <v>0</v>
      </c>
      <c r="H28" s="13">
        <f>COUNTIFS(Requirements[Priority],"="&amp;$D28, Requirements[Status], "="&amp;H$18)</f>
        <v>0</v>
      </c>
    </row>
    <row r="29" spans="3:8">
      <c r="C29" s="12"/>
      <c r="D29" s="2"/>
      <c r="E29" s="20"/>
      <c r="F29" s="20"/>
      <c r="G29" s="21"/>
      <c r="H29" s="21"/>
    </row>
    <row r="30" spans="3:8" ht="19">
      <c r="C30" s="10" t="s">
        <v>31</v>
      </c>
      <c r="D30" s="23" t="e">
        <f>SUM(E30:H30)</f>
        <v>#REF!</v>
      </c>
      <c r="E30" s="22" t="e">
        <f>COUNTIF(#REF!,"="&amp;E31)</f>
        <v>#REF!</v>
      </c>
      <c r="F30" s="22" t="e">
        <f>COUNTIF(#REF!,"="&amp;F31)</f>
        <v>#REF!</v>
      </c>
      <c r="G30" s="22" t="e">
        <f>COUNTIF(#REF!,"="&amp;G31)</f>
        <v>#REF!</v>
      </c>
      <c r="H30" s="22" t="e">
        <f>COUNTIF(#REF!,"="&amp;H31)</f>
        <v>#REF!</v>
      </c>
    </row>
    <row r="31" spans="3:8" ht="16">
      <c r="C31" s="10"/>
      <c r="D31" s="11" t="s">
        <v>12</v>
      </c>
      <c r="E31" s="11" t="s">
        <v>13</v>
      </c>
      <c r="F31" s="11" t="s">
        <v>18</v>
      </c>
      <c r="G31" s="11" t="s">
        <v>19</v>
      </c>
      <c r="H31" s="11" t="s">
        <v>20</v>
      </c>
    </row>
    <row r="32" spans="3:8">
      <c r="C32" s="45" t="s">
        <v>32</v>
      </c>
      <c r="D32" s="46"/>
      <c r="E32" s="47" t="e">
        <f>SUM(E33:E40)</f>
        <v>#REF!</v>
      </c>
      <c r="F32" s="47" t="e">
        <f t="shared" ref="F32:H32" si="6">SUM(F33:F40)</f>
        <v>#REF!</v>
      </c>
      <c r="G32" s="47" t="e">
        <f t="shared" si="6"/>
        <v>#REF!</v>
      </c>
      <c r="H32" s="47" t="e">
        <f t="shared" si="6"/>
        <v>#REF!</v>
      </c>
    </row>
    <row r="33" spans="3:8">
      <c r="C33" s="12"/>
      <c r="D33" s="2" t="s">
        <v>33</v>
      </c>
      <c r="E33" s="13" t="e">
        <f>COUNTIFS(Features[Area],"="&amp;$D33,#REF!, "="&amp;E$31)</f>
        <v>#REF!</v>
      </c>
      <c r="F33" s="13" t="e">
        <f>COUNTIFS(Features[Area],"="&amp;$D33,#REF!, "="&amp;F$31)</f>
        <v>#REF!</v>
      </c>
      <c r="G33" s="13" t="e">
        <f>COUNTIFS(Features[Area],"="&amp;$D33,#REF!, "="&amp;G$31)</f>
        <v>#REF!</v>
      </c>
      <c r="H33" s="13" t="e">
        <f>COUNTIFS(Features[Area],"="&amp;$D33,#REF!, "="&amp;H$31)</f>
        <v>#REF!</v>
      </c>
    </row>
    <row r="34" spans="3:8">
      <c r="C34" s="12"/>
      <c r="D34" s="2" t="s">
        <v>34</v>
      </c>
      <c r="E34" s="13" t="e">
        <f>COUNTIFS(Features[Area],"="&amp;$D34,#REF!, "="&amp;E$31)</f>
        <v>#REF!</v>
      </c>
      <c r="F34" s="13" t="e">
        <f>COUNTIFS(Features[Area],"="&amp;$D34,#REF!, "="&amp;F$31)</f>
        <v>#REF!</v>
      </c>
      <c r="G34" s="13" t="e">
        <f>COUNTIFS(Features[Area],"="&amp;$D34,#REF!, "="&amp;G$31)</f>
        <v>#REF!</v>
      </c>
      <c r="H34" s="13" t="e">
        <f>COUNTIFS(Features[Area],"="&amp;$D34,#REF!, "="&amp;H$31)</f>
        <v>#REF!</v>
      </c>
    </row>
    <row r="35" spans="3:8">
      <c r="C35" s="12"/>
      <c r="D35" s="2" t="s">
        <v>35</v>
      </c>
      <c r="E35" s="13" t="e">
        <f>COUNTIFS(Features[Area],"="&amp;$D35,#REF!, "="&amp;E$31)</f>
        <v>#REF!</v>
      </c>
      <c r="F35" s="13" t="e">
        <f>COUNTIFS(Features[Area],"="&amp;$D35,#REF!, "="&amp;F$31)</f>
        <v>#REF!</v>
      </c>
      <c r="G35" s="13" t="e">
        <f>COUNTIFS(Features[Area],"="&amp;$D35,#REF!, "="&amp;G$31)</f>
        <v>#REF!</v>
      </c>
      <c r="H35" s="13" t="e">
        <f>COUNTIFS(Features[Area],"="&amp;$D35,#REF!, "="&amp;H$31)</f>
        <v>#REF!</v>
      </c>
    </row>
    <row r="36" spans="3:8">
      <c r="C36" s="12"/>
      <c r="D36" s="2" t="s">
        <v>36</v>
      </c>
      <c r="E36" s="13" t="e">
        <f>COUNTIFS(Features[Area],"="&amp;$D36,#REF!, "="&amp;E$31)</f>
        <v>#REF!</v>
      </c>
      <c r="F36" s="13" t="e">
        <f>COUNTIFS(Features[Area],"="&amp;$D36,#REF!, "="&amp;F$31)</f>
        <v>#REF!</v>
      </c>
      <c r="G36" s="13" t="e">
        <f>COUNTIFS(Features[Area],"="&amp;$D36,#REF!, "="&amp;G$31)</f>
        <v>#REF!</v>
      </c>
      <c r="H36" s="13" t="e">
        <f>COUNTIFS(Features[Area],"="&amp;$D36,#REF!, "="&amp;H$31)</f>
        <v>#REF!</v>
      </c>
    </row>
    <row r="37" spans="3:8">
      <c r="C37" s="12"/>
      <c r="D37" s="2"/>
      <c r="E37" s="13" t="e">
        <f>COUNTIFS(Features[Area],"="&amp;$D37,#REF!, "="&amp;E$31)</f>
        <v>#REF!</v>
      </c>
      <c r="F37" s="13" t="e">
        <f>COUNTIFS(Features[Area],"="&amp;$D37,#REF!, "="&amp;F$31)</f>
        <v>#REF!</v>
      </c>
      <c r="G37" s="13" t="e">
        <f>COUNTIFS(Features[Area],"="&amp;$D37,#REF!, "="&amp;G$31)</f>
        <v>#REF!</v>
      </c>
      <c r="H37" s="13" t="e">
        <f>COUNTIFS(Features[Area],"="&amp;$D37,#REF!, "="&amp;H$31)</f>
        <v>#REF!</v>
      </c>
    </row>
    <row r="38" spans="3:8">
      <c r="C38" s="12"/>
      <c r="D38" s="2"/>
      <c r="E38" s="13" t="e">
        <f>COUNTIFS(Features[Area],"="&amp;$D38,#REF!, "="&amp;E$31)</f>
        <v>#REF!</v>
      </c>
      <c r="F38" s="13" t="e">
        <f>COUNTIFS(Features[Area],"="&amp;$D38,#REF!, "="&amp;F$31)</f>
        <v>#REF!</v>
      </c>
      <c r="G38" s="13" t="e">
        <f>COUNTIFS(Features[Area],"="&amp;$D38,#REF!, "="&amp;G$31)</f>
        <v>#REF!</v>
      </c>
      <c r="H38" s="13" t="e">
        <f>COUNTIFS(Features[Area],"="&amp;$D38,#REF!, "="&amp;H$31)</f>
        <v>#REF!</v>
      </c>
    </row>
    <row r="39" spans="3:8">
      <c r="C39" s="12"/>
      <c r="D39" s="2"/>
      <c r="E39" s="13" t="e">
        <f>COUNTIFS(Features[Area],"="&amp;$D39,#REF!, "="&amp;E$31)</f>
        <v>#REF!</v>
      </c>
      <c r="F39" s="13" t="e">
        <f>COUNTIFS(Features[Area],"="&amp;$D39,#REF!, "="&amp;F$31)</f>
        <v>#REF!</v>
      </c>
      <c r="G39" s="13" t="e">
        <f>COUNTIFS(Features[Area],"="&amp;$D39,#REF!, "="&amp;G$31)</f>
        <v>#REF!</v>
      </c>
      <c r="H39" s="13" t="e">
        <f>COUNTIFS(Features[Area],"="&amp;$D39,#REF!, "="&amp;H$31)</f>
        <v>#REF!</v>
      </c>
    </row>
    <row r="40" spans="3:8">
      <c r="C40" s="12"/>
      <c r="D40" s="2"/>
      <c r="E40" s="13" t="e">
        <f>COUNTIFS(Features[Area],"="&amp;$D40,#REF!, "="&amp;E$31)</f>
        <v>#REF!</v>
      </c>
      <c r="F40" s="13" t="e">
        <f>COUNTIFS(Features[Area],"="&amp;$D40,#REF!, "="&amp;F$31)</f>
        <v>#REF!</v>
      </c>
      <c r="G40" s="13" t="e">
        <f>COUNTIFS(Features[Area],"="&amp;$D40,#REF!, "="&amp;G$31)</f>
        <v>#REF!</v>
      </c>
      <c r="H40" s="13" t="e">
        <f>COUNTIFS(Features[Area],"="&amp;$D40,#REF!, "="&amp;H$31)</f>
        <v>#REF!</v>
      </c>
    </row>
    <row r="41" spans="3:8">
      <c r="C41" s="12"/>
      <c r="D41" s="2"/>
      <c r="E41" s="20"/>
      <c r="F41" s="20"/>
      <c r="G41" s="21"/>
      <c r="H41" s="21"/>
    </row>
    <row r="42" spans="3:8" ht="19">
      <c r="C42" s="10" t="s">
        <v>37</v>
      </c>
      <c r="D42" s="23" t="e">
        <f>SUM(E42:G42)</f>
        <v>#REF!</v>
      </c>
      <c r="E42" s="22" t="e">
        <f>COUNTIF(#REF!,"="&amp;E43)</f>
        <v>#REF!</v>
      </c>
      <c r="F42" s="22" t="e">
        <f>COUNTIF(#REF!,"="&amp;F43)</f>
        <v>#REF!</v>
      </c>
      <c r="G42" s="22" t="e">
        <f>COUNTIF(#REF!,"="&amp;G43)</f>
        <v>#REF!</v>
      </c>
    </row>
    <row r="43" spans="3:8" ht="16">
      <c r="C43" s="10"/>
      <c r="D43" s="11" t="s">
        <v>12</v>
      </c>
      <c r="E43" s="11" t="s">
        <v>13</v>
      </c>
      <c r="F43" s="11" t="s">
        <v>38</v>
      </c>
      <c r="G43" s="11" t="s">
        <v>39</v>
      </c>
    </row>
    <row r="44" spans="3:8">
      <c r="C44" s="42" t="s">
        <v>32</v>
      </c>
      <c r="D44" s="43"/>
      <c r="E44" s="44" t="e">
        <f>SUM(E45:E52)</f>
        <v>#REF!</v>
      </c>
      <c r="F44" s="44" t="e">
        <f t="shared" ref="F44" si="7">SUM(F45:F52)</f>
        <v>#REF!</v>
      </c>
      <c r="G44" s="44" t="e">
        <f t="shared" ref="G44" si="8">SUM(G45:G52)</f>
        <v>#REF!</v>
      </c>
    </row>
    <row r="45" spans="3:8">
      <c r="C45" s="12"/>
      <c r="D45" s="2" t="s">
        <v>33</v>
      </c>
      <c r="E45" s="13" t="e">
        <f>COUNTIFS(Features[Area],"="&amp;$D45,#REF!, "="&amp;E$43)</f>
        <v>#REF!</v>
      </c>
      <c r="F45" s="13" t="e">
        <f>COUNTIFS(Features[Area],"="&amp;$D45,#REF!, "="&amp;F$43)</f>
        <v>#REF!</v>
      </c>
      <c r="G45" s="13" t="e">
        <f>COUNTIFS(Features[Area],"="&amp;$D45,#REF!, "="&amp;G$43)</f>
        <v>#REF!</v>
      </c>
    </row>
    <row r="46" spans="3:8">
      <c r="C46" s="12"/>
      <c r="D46" s="2" t="s">
        <v>34</v>
      </c>
      <c r="E46" s="13" t="e">
        <f>COUNTIFS(Features[Area],"="&amp;$D46,#REF!, "="&amp;E$31)</f>
        <v>#REF!</v>
      </c>
      <c r="F46" s="13" t="e">
        <f>COUNTIFS(Features[Area],"="&amp;$D46,#REF!, "="&amp;F$31)</f>
        <v>#REF!</v>
      </c>
      <c r="G46" s="13" t="e">
        <f>COUNTIFS(Features[Area],"="&amp;$D46,#REF!, "="&amp;G$31)</f>
        <v>#REF!</v>
      </c>
    </row>
    <row r="47" spans="3:8">
      <c r="C47" s="12"/>
      <c r="D47" s="2" t="s">
        <v>35</v>
      </c>
      <c r="E47" s="13" t="e">
        <f>COUNTIFS(Features[Area],"="&amp;$D47,#REF!, "="&amp;E$31)</f>
        <v>#REF!</v>
      </c>
      <c r="F47" s="13" t="e">
        <f>COUNTIFS(Features[Area],"="&amp;$D47,#REF!, "="&amp;F$31)</f>
        <v>#REF!</v>
      </c>
      <c r="G47" s="13" t="e">
        <f>COUNTIFS(Features[Area],"="&amp;$D47,#REF!, "="&amp;G$31)</f>
        <v>#REF!</v>
      </c>
    </row>
    <row r="48" spans="3:8">
      <c r="C48" s="12"/>
      <c r="D48" s="2" t="s">
        <v>36</v>
      </c>
      <c r="E48" s="13" t="e">
        <f>COUNTIFS(Features[Area],"="&amp;$D48,#REF!, "="&amp;E$31)</f>
        <v>#REF!</v>
      </c>
      <c r="F48" s="13" t="e">
        <f>COUNTIFS(Features[Area],"="&amp;$D48,#REF!, "="&amp;F$31)</f>
        <v>#REF!</v>
      </c>
      <c r="G48" s="13" t="e">
        <f>COUNTIFS(Features[Area],"="&amp;$D48,#REF!, "="&amp;G$31)</f>
        <v>#REF!</v>
      </c>
    </row>
    <row r="49" spans="3:8">
      <c r="C49" s="12"/>
      <c r="D49" s="2"/>
      <c r="E49" s="13" t="e">
        <f>COUNTIFS(Features[Area],"="&amp;$D49,#REF!, "="&amp;E$31)</f>
        <v>#REF!</v>
      </c>
      <c r="F49" s="13" t="e">
        <f>COUNTIFS(Features[Area],"="&amp;$D49,#REF!, "="&amp;F$31)</f>
        <v>#REF!</v>
      </c>
      <c r="G49" s="13" t="e">
        <f>COUNTIFS(Features[Area],"="&amp;$D49,#REF!, "="&amp;G$31)</f>
        <v>#REF!</v>
      </c>
    </row>
    <row r="50" spans="3:8">
      <c r="C50" s="12"/>
      <c r="D50" s="2"/>
      <c r="E50" s="13" t="e">
        <f>COUNTIFS(Features[Area],"="&amp;$D50,#REF!, "="&amp;E$31)</f>
        <v>#REF!</v>
      </c>
      <c r="F50" s="13" t="e">
        <f>COUNTIFS(Features[Area],"="&amp;$D50,#REF!, "="&amp;F$31)</f>
        <v>#REF!</v>
      </c>
      <c r="G50" s="13" t="e">
        <f>COUNTIFS(Features[Area],"="&amp;$D50,#REF!, "="&amp;G$31)</f>
        <v>#REF!</v>
      </c>
    </row>
    <row r="51" spans="3:8">
      <c r="C51" s="12"/>
      <c r="D51" s="2"/>
      <c r="E51" s="13" t="e">
        <f>COUNTIFS(Features[Area],"="&amp;$D51,#REF!, "="&amp;E$31)</f>
        <v>#REF!</v>
      </c>
      <c r="F51" s="13" t="e">
        <f>COUNTIFS(Features[Area],"="&amp;$D51,#REF!, "="&amp;F$31)</f>
        <v>#REF!</v>
      </c>
      <c r="G51" s="13" t="e">
        <f>COUNTIFS(Features[Area],"="&amp;$D51,#REF!, "="&amp;G$31)</f>
        <v>#REF!</v>
      </c>
    </row>
    <row r="52" spans="3:8">
      <c r="C52" s="12"/>
      <c r="D52" s="2"/>
      <c r="E52" s="13" t="e">
        <f>COUNTIFS(Features[Area],"="&amp;$D52,#REF!, "="&amp;E$31)</f>
        <v>#REF!</v>
      </c>
      <c r="F52" s="13" t="e">
        <f>COUNTIFS(Features[Area],"="&amp;$D52,#REF!, "="&amp;F$31)</f>
        <v>#REF!</v>
      </c>
      <c r="G52" s="13" t="e">
        <f>COUNTIFS(Features[Area],"="&amp;$D52,#REF!, "="&amp;G$31)</f>
        <v>#REF!</v>
      </c>
    </row>
    <row r="53" spans="3:8">
      <c r="C53" s="12"/>
      <c r="D53" s="2"/>
      <c r="E53" s="20"/>
      <c r="F53" s="20"/>
      <c r="G53" s="21"/>
      <c r="H53" s="2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82EA0-3B9C-44E0-A282-7604861B080E}">
  <dimension ref="B2:I15"/>
  <sheetViews>
    <sheetView zoomScale="115" zoomScaleNormal="115" workbookViewId="0">
      <selection activeCell="E19" sqref="E19"/>
    </sheetView>
  </sheetViews>
  <sheetFormatPr baseColWidth="10" defaultColWidth="8.6640625" defaultRowHeight="15"/>
  <cols>
    <col min="1" max="1" width="4.6640625" customWidth="1"/>
    <col min="2" max="2" width="6.6640625" customWidth="1"/>
    <col min="3" max="3" width="19.5" customWidth="1"/>
    <col min="4" max="4" width="40.5" customWidth="1"/>
    <col min="5" max="5" width="67.1640625" customWidth="1"/>
    <col min="6" max="6" width="18" bestFit="1" customWidth="1"/>
    <col min="7" max="7" width="18.5" bestFit="1" customWidth="1"/>
    <col min="8" max="8" width="14.33203125" customWidth="1"/>
    <col min="9" max="9" width="12.5" customWidth="1"/>
  </cols>
  <sheetData>
    <row r="2" spans="2:9" ht="31.25" customHeight="1">
      <c r="B2" s="58" t="s">
        <v>40</v>
      </c>
      <c r="C2" s="57"/>
      <c r="D2" s="57"/>
      <c r="E2" s="92" t="s">
        <v>41</v>
      </c>
      <c r="F2" s="92"/>
      <c r="G2" s="92"/>
      <c r="H2" s="92"/>
    </row>
    <row r="3" spans="2:9" ht="14.75" customHeight="1">
      <c r="B3" s="1"/>
    </row>
    <row r="4" spans="2:9" ht="16" thickBot="1"/>
    <row r="5" spans="2:9" ht="17" thickBot="1">
      <c r="C5" s="14" t="s">
        <v>4</v>
      </c>
      <c r="D5" s="4" t="str">
        <f>Summary!D4</f>
        <v>Portal Agentes</v>
      </c>
      <c r="E5" s="2"/>
      <c r="F5" s="14" t="s">
        <v>42</v>
      </c>
      <c r="G5" s="48" t="s">
        <v>43</v>
      </c>
    </row>
    <row r="6" spans="2:9" ht="17" thickBot="1">
      <c r="C6" s="14" t="s">
        <v>8</v>
      </c>
      <c r="D6" s="5" t="str">
        <f>Summary!D5</f>
        <v>Alex Olivé</v>
      </c>
      <c r="E6" s="2"/>
      <c r="F6" s="14" t="s">
        <v>10</v>
      </c>
      <c r="G6" s="5"/>
    </row>
    <row r="7" spans="2:9">
      <c r="C7" s="2"/>
      <c r="D7" s="2"/>
      <c r="E7" s="2"/>
      <c r="F7" s="2"/>
      <c r="G7" s="2"/>
    </row>
    <row r="8" spans="2:9">
      <c r="C8" s="2"/>
      <c r="D8" s="2"/>
      <c r="E8" s="2"/>
      <c r="F8" s="2"/>
      <c r="G8" s="2"/>
    </row>
    <row r="9" spans="2:9" ht="16">
      <c r="B9" s="27" t="s">
        <v>44</v>
      </c>
      <c r="C9" s="27" t="s">
        <v>45</v>
      </c>
      <c r="D9" s="27" t="s">
        <v>46</v>
      </c>
      <c r="E9" s="27" t="s">
        <v>47</v>
      </c>
      <c r="F9" s="27" t="s">
        <v>48</v>
      </c>
      <c r="G9" s="27" t="s">
        <v>49</v>
      </c>
      <c r="H9" s="27" t="s">
        <v>50</v>
      </c>
      <c r="I9" s="27" t="s">
        <v>51</v>
      </c>
    </row>
    <row r="10" spans="2:9" ht="30">
      <c r="B10" s="59" t="s">
        <v>52</v>
      </c>
      <c r="C10" s="60" t="s">
        <v>53</v>
      </c>
      <c r="D10" s="59" t="s">
        <v>54</v>
      </c>
      <c r="E10" s="61" t="s">
        <v>55</v>
      </c>
      <c r="F10" s="59" t="e">
        <f>COUNTIFS(#REF!,"="&amp;$C10,#REF!,"=Included")</f>
        <v>#REF!</v>
      </c>
      <c r="G10" s="59" t="e">
        <f>COUNTIFS(#REF!,"="&amp;$C10,#REF!,"=Approved")</f>
        <v>#REF!</v>
      </c>
      <c r="H10" s="62">
        <v>45717</v>
      </c>
      <c r="I10" s="59" t="s">
        <v>56</v>
      </c>
    </row>
    <row r="11" spans="2:9" ht="27.5" customHeight="1">
      <c r="B11" s="59" t="s">
        <v>57</v>
      </c>
      <c r="C11" s="60" t="s">
        <v>58</v>
      </c>
      <c r="D11" s="59" t="s">
        <v>59</v>
      </c>
      <c r="E11" s="61"/>
      <c r="F11" s="59" t="e">
        <f>COUNTIFS(#REF!,"="&amp;$C11,#REF!,"=Included")</f>
        <v>#REF!</v>
      </c>
      <c r="G11" s="59" t="e">
        <f>COUNTIFS(#REF!,"="&amp;$C11,#REF!,"=Approved")</f>
        <v>#REF!</v>
      </c>
      <c r="H11" s="62">
        <v>45748</v>
      </c>
      <c r="I11" s="59" t="s">
        <v>15</v>
      </c>
    </row>
    <row r="12" spans="2:9" ht="27.5" customHeight="1">
      <c r="B12" s="59" t="s">
        <v>60</v>
      </c>
      <c r="C12" s="60" t="s">
        <v>61</v>
      </c>
      <c r="D12" s="59" t="s">
        <v>62</v>
      </c>
      <c r="E12" s="61"/>
      <c r="F12" s="59" t="e">
        <f>COUNTIFS(#REF!,"="&amp;$C12,#REF!,"=Included")</f>
        <v>#REF!</v>
      </c>
      <c r="G12" s="59" t="e">
        <f>COUNTIFS(#REF!,"="&amp;$C12,#REF!,"=Approved")</f>
        <v>#REF!</v>
      </c>
      <c r="H12" s="62">
        <v>45778</v>
      </c>
      <c r="I12" s="59" t="s">
        <v>56</v>
      </c>
    </row>
    <row r="13" spans="2:9" ht="27.5" customHeight="1">
      <c r="B13" s="59" t="s">
        <v>63</v>
      </c>
      <c r="C13" s="60" t="s">
        <v>64</v>
      </c>
      <c r="D13" s="59" t="s">
        <v>65</v>
      </c>
      <c r="E13" s="61"/>
      <c r="F13" s="59" t="e">
        <f>COUNTIFS(#REF!,"="&amp;$C13,#REF!,"=Included")</f>
        <v>#REF!</v>
      </c>
      <c r="G13" s="59" t="e">
        <f>COUNTIFS(#REF!,"="&amp;$C13,#REF!,"=Approved")</f>
        <v>#REF!</v>
      </c>
      <c r="H13" s="62">
        <v>45809</v>
      </c>
      <c r="I13" s="59" t="s">
        <v>56</v>
      </c>
    </row>
    <row r="14" spans="2:9" ht="27.5" customHeight="1">
      <c r="B14" s="59" t="s">
        <v>66</v>
      </c>
      <c r="C14" s="60" t="s">
        <v>67</v>
      </c>
      <c r="D14" s="59" t="s">
        <v>68</v>
      </c>
      <c r="E14" s="61"/>
      <c r="F14" s="59" t="e">
        <f>COUNTIFS(#REF!,"="&amp;$C14,#REF!,"=Included")</f>
        <v>#REF!</v>
      </c>
      <c r="G14" s="59" t="e">
        <f>COUNTIFS(#REF!,"="&amp;$C14,#REF!,"=Approved")</f>
        <v>#REF!</v>
      </c>
      <c r="H14" s="62">
        <v>45839</v>
      </c>
      <c r="I14" s="59" t="s">
        <v>56</v>
      </c>
    </row>
    <row r="15" spans="2:9" ht="16">
      <c r="B15" s="59"/>
      <c r="C15" s="59"/>
      <c r="D15" s="59"/>
      <c r="E15" s="61"/>
      <c r="F15" s="59"/>
      <c r="G15" s="59"/>
      <c r="H15" s="59"/>
      <c r="I15" s="59"/>
    </row>
  </sheetData>
  <mergeCells count="1">
    <mergeCell ref="E2:H2"/>
  </mergeCells>
  <phoneticPr fontId="3" type="noConversion"/>
  <dataValidations count="1">
    <dataValidation type="list" allowBlank="1" showInputMessage="1" showErrorMessage="1" sqref="I10:I15" xr:uid="{827894FA-A0DF-4C69-A87F-4FF4612299AC}">
      <formula1>"Planned,Validating,Finished"</formula1>
    </dataValidation>
  </dataValidations>
  <pageMargins left="0.7" right="0.7" top="0.75" bottom="0.75" header="0.3" footer="0.3"/>
  <pageSetup paperSize="9"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75B0A-1A60-4B54-8650-08B5E5FAB6E9}">
  <dimension ref="B2:O63"/>
  <sheetViews>
    <sheetView zoomScale="120" zoomScaleNormal="120" workbookViewId="0">
      <selection activeCell="E9" sqref="E9"/>
    </sheetView>
  </sheetViews>
  <sheetFormatPr baseColWidth="10" defaultColWidth="8.6640625" defaultRowHeight="15"/>
  <cols>
    <col min="1" max="1" width="5.5" customWidth="1"/>
    <col min="2" max="2" width="7.5" customWidth="1"/>
    <col min="3" max="3" width="25.1640625" customWidth="1"/>
    <col min="4" max="4" width="41.5" customWidth="1"/>
    <col min="5" max="5" width="65.83203125" customWidth="1"/>
    <col min="6" max="6" width="15.5" customWidth="1"/>
    <col min="7" max="7" width="12" customWidth="1"/>
    <col min="8" max="8" width="12.83203125" customWidth="1"/>
    <col min="9" max="9" width="11.83203125" customWidth="1"/>
    <col min="10" max="10" width="11.5" customWidth="1"/>
    <col min="11" max="11" width="10.83203125" bestFit="1" customWidth="1"/>
    <col min="12" max="12" width="36.5" bestFit="1" customWidth="1"/>
    <col min="15" max="15" width="36.5" bestFit="1" customWidth="1"/>
  </cols>
  <sheetData>
    <row r="2" spans="2:12" ht="33" customHeight="1">
      <c r="B2" s="73" t="s">
        <v>69</v>
      </c>
      <c r="C2" s="66"/>
      <c r="D2" s="74"/>
      <c r="E2" s="93" t="s">
        <v>70</v>
      </c>
      <c r="F2" s="93"/>
      <c r="G2" s="93"/>
      <c r="H2" s="93"/>
    </row>
    <row r="4" spans="2:12" ht="19">
      <c r="C4" s="72" t="s">
        <v>4</v>
      </c>
      <c r="D4" s="68" t="s">
        <v>5</v>
      </c>
      <c r="E4" s="2"/>
      <c r="F4" s="14" t="s">
        <v>42</v>
      </c>
      <c r="G4" s="70" t="s">
        <v>71</v>
      </c>
    </row>
    <row r="5" spans="2:12" ht="19">
      <c r="C5" s="72" t="s">
        <v>8</v>
      </c>
      <c r="D5" s="69" t="str">
        <f>Summary!D5</f>
        <v>Alex Olivé</v>
      </c>
      <c r="E5" s="2"/>
      <c r="F5" s="14" t="s">
        <v>10</v>
      </c>
      <c r="G5" s="71">
        <v>45980</v>
      </c>
    </row>
    <row r="6" spans="2:12">
      <c r="C6" s="2"/>
      <c r="D6" s="2"/>
      <c r="E6" s="2"/>
      <c r="F6" s="2"/>
      <c r="G6" s="2"/>
    </row>
    <row r="7" spans="2:12">
      <c r="C7" s="2"/>
      <c r="D7" s="2"/>
      <c r="E7" s="2"/>
      <c r="F7" s="2"/>
      <c r="G7" s="2"/>
    </row>
    <row r="8" spans="2:12" s="66" customFormat="1" ht="19">
      <c r="B8" s="66" t="s">
        <v>44</v>
      </c>
      <c r="C8" s="66" t="s">
        <v>72</v>
      </c>
      <c r="D8" s="66" t="s">
        <v>73</v>
      </c>
      <c r="E8" s="66" t="s">
        <v>47</v>
      </c>
      <c r="F8" s="66" t="s">
        <v>74</v>
      </c>
      <c r="G8" s="66" t="s">
        <v>75</v>
      </c>
      <c r="H8" s="66" t="s">
        <v>76</v>
      </c>
      <c r="I8" s="66" t="s">
        <v>51</v>
      </c>
      <c r="J8" s="67" t="s">
        <v>77</v>
      </c>
      <c r="K8" s="66" t="s">
        <v>78</v>
      </c>
      <c r="L8" s="66" t="s">
        <v>79</v>
      </c>
    </row>
    <row r="9" spans="2:12" s="66" customFormat="1" ht="246" customHeight="1">
      <c r="B9" s="64" t="s">
        <v>80</v>
      </c>
      <c r="C9" s="64" t="s">
        <v>81</v>
      </c>
      <c r="D9" s="64" t="s">
        <v>82</v>
      </c>
      <c r="E9" s="64" t="s">
        <v>83</v>
      </c>
      <c r="F9" s="64" t="s">
        <v>23</v>
      </c>
      <c r="G9" s="64"/>
      <c r="H9" s="64" t="s">
        <v>27</v>
      </c>
      <c r="I9" s="64" t="s">
        <v>13</v>
      </c>
      <c r="J9" s="64"/>
      <c r="K9" s="64"/>
      <c r="L9" s="64" t="s">
        <v>84</v>
      </c>
    </row>
    <row r="10" spans="2:12" s="66" customFormat="1" ht="270">
      <c r="B10" s="64" t="s">
        <v>85</v>
      </c>
      <c r="C10" s="64" t="s">
        <v>81</v>
      </c>
      <c r="D10" s="64" t="s">
        <v>86</v>
      </c>
      <c r="E10" s="76" t="s">
        <v>87</v>
      </c>
      <c r="F10" s="64" t="s">
        <v>24</v>
      </c>
      <c r="G10" s="64"/>
      <c r="H10" s="64" t="s">
        <v>27</v>
      </c>
      <c r="I10" s="64" t="s">
        <v>13</v>
      </c>
      <c r="J10" s="64"/>
      <c r="K10" s="64"/>
      <c r="L10" s="64"/>
    </row>
    <row r="11" spans="2:12" s="66" customFormat="1" ht="255">
      <c r="B11" s="64" t="s">
        <v>88</v>
      </c>
      <c r="C11" s="64" t="s">
        <v>81</v>
      </c>
      <c r="D11" s="64" t="s">
        <v>89</v>
      </c>
      <c r="E11" s="76" t="s">
        <v>90</v>
      </c>
      <c r="F11" s="64" t="s">
        <v>23</v>
      </c>
      <c r="G11" s="64"/>
      <c r="H11" s="64" t="s">
        <v>27</v>
      </c>
      <c r="I11" s="64" t="s">
        <v>13</v>
      </c>
      <c r="J11" s="64"/>
      <c r="K11" s="64"/>
      <c r="L11" s="64" t="s">
        <v>91</v>
      </c>
    </row>
    <row r="12" spans="2:12" s="66" customFormat="1" ht="270">
      <c r="B12" s="64" t="s">
        <v>92</v>
      </c>
      <c r="C12" s="64" t="s">
        <v>81</v>
      </c>
      <c r="D12" s="64" t="s">
        <v>93</v>
      </c>
      <c r="E12" s="76" t="s">
        <v>94</v>
      </c>
      <c r="F12" s="64" t="s">
        <v>23</v>
      </c>
      <c r="G12" s="64"/>
      <c r="H12" s="64" t="s">
        <v>27</v>
      </c>
      <c r="I12" s="64" t="s">
        <v>13</v>
      </c>
      <c r="J12" s="64"/>
      <c r="K12" s="64"/>
      <c r="L12" s="64" t="s">
        <v>95</v>
      </c>
    </row>
    <row r="13" spans="2:12" s="66" customFormat="1" ht="189.75" customHeight="1">
      <c r="B13" s="64" t="s">
        <v>96</v>
      </c>
      <c r="C13" s="64" t="s">
        <v>81</v>
      </c>
      <c r="D13" s="64" t="s">
        <v>97</v>
      </c>
      <c r="E13" s="76" t="s">
        <v>98</v>
      </c>
      <c r="F13" s="64" t="s">
        <v>99</v>
      </c>
      <c r="G13" s="64"/>
      <c r="H13" s="64" t="s">
        <v>27</v>
      </c>
      <c r="I13" s="64" t="s">
        <v>13</v>
      </c>
      <c r="J13" s="64"/>
      <c r="K13" s="64"/>
      <c r="L13" s="64"/>
    </row>
    <row r="14" spans="2:12" s="66" customFormat="1" ht="314">
      <c r="B14" s="64" t="s">
        <v>100</v>
      </c>
      <c r="C14" s="64" t="s">
        <v>81</v>
      </c>
      <c r="D14" s="64" t="s">
        <v>101</v>
      </c>
      <c r="E14" s="76" t="s">
        <v>102</v>
      </c>
      <c r="F14" s="64" t="s">
        <v>22</v>
      </c>
      <c r="G14" s="64"/>
      <c r="H14" s="64" t="s">
        <v>27</v>
      </c>
      <c r="I14" s="64" t="s">
        <v>13</v>
      </c>
      <c r="J14" s="64"/>
      <c r="K14" s="64"/>
      <c r="L14" s="64"/>
    </row>
    <row r="15" spans="2:12" s="66" customFormat="1" ht="398">
      <c r="B15" s="64" t="s">
        <v>103</v>
      </c>
      <c r="C15" s="64" t="s">
        <v>81</v>
      </c>
      <c r="D15" s="64" t="s">
        <v>104</v>
      </c>
      <c r="E15" s="64" t="s">
        <v>105</v>
      </c>
      <c r="F15" s="64" t="s">
        <v>23</v>
      </c>
      <c r="G15" s="64"/>
      <c r="H15" s="64" t="s">
        <v>27</v>
      </c>
      <c r="I15" s="64" t="s">
        <v>13</v>
      </c>
      <c r="J15" s="64"/>
      <c r="K15" s="64"/>
      <c r="L15" s="64"/>
    </row>
    <row r="16" spans="2:12" s="66" customFormat="1" ht="240">
      <c r="B16" s="64" t="s">
        <v>106</v>
      </c>
      <c r="C16" s="64" t="s">
        <v>81</v>
      </c>
      <c r="D16" s="64" t="s">
        <v>107</v>
      </c>
      <c r="E16" s="76" t="s">
        <v>108</v>
      </c>
      <c r="F16" s="64" t="s">
        <v>23</v>
      </c>
      <c r="G16" s="64"/>
      <c r="H16" s="64" t="s">
        <v>29</v>
      </c>
      <c r="I16" s="64" t="s">
        <v>13</v>
      </c>
      <c r="J16" s="64"/>
      <c r="K16" s="64"/>
      <c r="L16" s="64"/>
    </row>
    <row r="17" spans="2:15" s="66" customFormat="1" ht="18">
      <c r="B17" s="77"/>
      <c r="C17" s="77"/>
      <c r="D17" s="77"/>
      <c r="E17" s="80" t="s">
        <v>109</v>
      </c>
      <c r="F17" s="77"/>
      <c r="G17" s="77"/>
      <c r="H17" s="77"/>
      <c r="I17" s="77"/>
      <c r="J17" s="77"/>
      <c r="K17" s="77"/>
      <c r="L17" s="77"/>
    </row>
    <row r="18" spans="2:15" ht="225">
      <c r="B18" s="64" t="s">
        <v>110</v>
      </c>
      <c r="C18" s="64" t="s">
        <v>111</v>
      </c>
      <c r="D18" s="64" t="s">
        <v>112</v>
      </c>
      <c r="E18" s="64" t="s">
        <v>113</v>
      </c>
      <c r="F18" s="64" t="s">
        <v>99</v>
      </c>
      <c r="G18" s="64"/>
      <c r="H18" s="64" t="s">
        <v>27</v>
      </c>
      <c r="I18" s="64" t="s">
        <v>13</v>
      </c>
      <c r="J18" s="64"/>
      <c r="K18" s="64"/>
      <c r="L18" s="64"/>
    </row>
    <row r="19" spans="2:15" ht="255" customHeight="1">
      <c r="B19" s="64" t="s">
        <v>114</v>
      </c>
      <c r="C19" s="64" t="s">
        <v>111</v>
      </c>
      <c r="D19" s="64" t="s">
        <v>115</v>
      </c>
      <c r="E19" s="64" t="s">
        <v>116</v>
      </c>
      <c r="F19" s="64" t="s">
        <v>24</v>
      </c>
      <c r="G19" s="64"/>
      <c r="H19" s="64" t="s">
        <v>27</v>
      </c>
      <c r="I19" s="64" t="s">
        <v>13</v>
      </c>
      <c r="J19" s="64"/>
      <c r="K19" s="64"/>
      <c r="L19" s="64"/>
    </row>
    <row r="20" spans="2:15" ht="117.75" customHeight="1">
      <c r="B20" s="64" t="s">
        <v>117</v>
      </c>
      <c r="C20" s="64" t="s">
        <v>111</v>
      </c>
      <c r="D20" s="64" t="s">
        <v>118</v>
      </c>
      <c r="E20" s="64" t="s">
        <v>119</v>
      </c>
      <c r="F20" s="64" t="s">
        <v>22</v>
      </c>
      <c r="G20" s="64"/>
      <c r="H20" s="64" t="s">
        <v>27</v>
      </c>
      <c r="I20" s="64" t="s">
        <v>13</v>
      </c>
      <c r="J20" s="64"/>
      <c r="K20" s="64"/>
      <c r="L20" s="64"/>
    </row>
    <row r="21" spans="2:15" ht="342">
      <c r="B21" s="64" t="s">
        <v>120</v>
      </c>
      <c r="C21" s="64" t="s">
        <v>121</v>
      </c>
      <c r="D21" s="64" t="s">
        <v>122</v>
      </c>
      <c r="E21" s="64" t="s">
        <v>123</v>
      </c>
      <c r="F21" s="64" t="s">
        <v>23</v>
      </c>
      <c r="G21" s="64"/>
      <c r="H21" s="64" t="s">
        <v>27</v>
      </c>
      <c r="I21" s="64" t="s">
        <v>13</v>
      </c>
      <c r="J21" s="64"/>
      <c r="K21" s="64"/>
      <c r="L21" s="64" t="s">
        <v>124</v>
      </c>
    </row>
    <row r="22" spans="2:15" ht="255">
      <c r="B22" s="64" t="s">
        <v>125</v>
      </c>
      <c r="C22" s="64" t="s">
        <v>121</v>
      </c>
      <c r="D22" s="81" t="s">
        <v>126</v>
      </c>
      <c r="E22" s="81" t="s">
        <v>127</v>
      </c>
      <c r="F22" s="64" t="s">
        <v>23</v>
      </c>
      <c r="G22" s="81"/>
      <c r="H22" s="81" t="s">
        <v>27</v>
      </c>
      <c r="I22" s="81" t="s">
        <v>13</v>
      </c>
      <c r="J22" s="81"/>
      <c r="K22" s="81"/>
      <c r="L22" s="82"/>
    </row>
    <row r="23" spans="2:15" ht="255">
      <c r="B23" s="64" t="s">
        <v>128</v>
      </c>
      <c r="C23" s="64" t="s">
        <v>111</v>
      </c>
      <c r="D23" s="64" t="s">
        <v>129</v>
      </c>
      <c r="E23" s="64" t="s">
        <v>130</v>
      </c>
      <c r="F23" s="64" t="s">
        <v>23</v>
      </c>
      <c r="G23" s="64"/>
      <c r="H23" s="64" t="s">
        <v>27</v>
      </c>
      <c r="I23" s="64" t="s">
        <v>13</v>
      </c>
      <c r="J23" s="64"/>
      <c r="K23" s="64"/>
      <c r="L23" s="64"/>
    </row>
    <row r="24" spans="2:15">
      <c r="B24" s="78"/>
      <c r="C24" s="78"/>
      <c r="D24" s="78"/>
      <c r="E24" s="78" t="s">
        <v>131</v>
      </c>
      <c r="F24" s="78"/>
      <c r="G24" s="78"/>
      <c r="H24" s="78"/>
      <c r="I24" s="78"/>
      <c r="J24" s="78"/>
      <c r="K24" s="78"/>
      <c r="L24" s="78"/>
    </row>
    <row r="25" spans="2:15" ht="409.6">
      <c r="B25" s="64" t="s">
        <v>132</v>
      </c>
      <c r="C25" s="64" t="s">
        <v>133</v>
      </c>
      <c r="D25" s="64" t="s">
        <v>134</v>
      </c>
      <c r="E25" s="64" t="s">
        <v>135</v>
      </c>
      <c r="F25" s="64" t="s">
        <v>24</v>
      </c>
      <c r="G25" s="64"/>
      <c r="H25" s="64" t="s">
        <v>27</v>
      </c>
      <c r="I25" s="64" t="s">
        <v>13</v>
      </c>
      <c r="J25" s="64"/>
      <c r="K25" s="64"/>
      <c r="L25" s="64" t="s">
        <v>136</v>
      </c>
    </row>
    <row r="26" spans="2:15" ht="328">
      <c r="B26" s="64" t="s">
        <v>137</v>
      </c>
      <c r="C26" s="64" t="s">
        <v>133</v>
      </c>
      <c r="D26" s="64" t="s">
        <v>138</v>
      </c>
      <c r="E26" s="76" t="s">
        <v>139</v>
      </c>
      <c r="F26" s="64" t="s">
        <v>22</v>
      </c>
      <c r="G26" s="64"/>
      <c r="H26" s="64" t="s">
        <v>27</v>
      </c>
      <c r="I26" s="64" t="s">
        <v>13</v>
      </c>
      <c r="J26" s="64"/>
      <c r="K26" s="64"/>
      <c r="L26" s="76" t="s">
        <v>140</v>
      </c>
    </row>
    <row r="27" spans="2:15" ht="384">
      <c r="B27" s="64" t="s">
        <v>141</v>
      </c>
      <c r="C27" s="64" t="s">
        <v>133</v>
      </c>
      <c r="D27" s="64" t="s">
        <v>142</v>
      </c>
      <c r="E27" s="64" t="s">
        <v>143</v>
      </c>
      <c r="F27" s="64" t="s">
        <v>23</v>
      </c>
      <c r="G27" s="64"/>
      <c r="H27" s="64" t="s">
        <v>27</v>
      </c>
      <c r="I27" s="64" t="s">
        <v>13</v>
      </c>
      <c r="J27" s="64"/>
      <c r="K27" s="64"/>
      <c r="L27" s="65" t="s">
        <v>144</v>
      </c>
    </row>
    <row r="28" spans="2:15" ht="285">
      <c r="B28" s="64" t="s">
        <v>145</v>
      </c>
      <c r="C28" s="64" t="s">
        <v>133</v>
      </c>
      <c r="D28" s="64" t="s">
        <v>146</v>
      </c>
      <c r="E28" s="64" t="s">
        <v>147</v>
      </c>
      <c r="F28" s="64" t="s">
        <v>23</v>
      </c>
      <c r="G28" s="64"/>
      <c r="H28" s="64" t="s">
        <v>27</v>
      </c>
      <c r="I28" s="64" t="s">
        <v>13</v>
      </c>
      <c r="J28" s="64"/>
      <c r="K28" s="64"/>
      <c r="L28" s="64" t="s">
        <v>148</v>
      </c>
    </row>
    <row r="29" spans="2:15" ht="294" customHeight="1">
      <c r="B29" s="64" t="s">
        <v>149</v>
      </c>
      <c r="C29" s="64" t="s">
        <v>133</v>
      </c>
      <c r="D29" s="75" t="s">
        <v>150</v>
      </c>
      <c r="E29" s="75" t="s">
        <v>151</v>
      </c>
      <c r="F29" s="75" t="s">
        <v>23</v>
      </c>
      <c r="G29" s="75"/>
      <c r="H29" s="75" t="s">
        <v>28</v>
      </c>
      <c r="I29" s="64" t="s">
        <v>13</v>
      </c>
      <c r="J29" s="75"/>
      <c r="K29" s="75"/>
      <c r="L29" s="75"/>
    </row>
    <row r="30" spans="2:15" ht="255">
      <c r="B30" s="64" t="s">
        <v>152</v>
      </c>
      <c r="C30" s="64" t="s">
        <v>133</v>
      </c>
      <c r="D30" s="64" t="s">
        <v>153</v>
      </c>
      <c r="E30" s="64" t="s">
        <v>154</v>
      </c>
      <c r="F30" s="64" t="s">
        <v>23</v>
      </c>
      <c r="G30" s="64"/>
      <c r="H30" s="64" t="s">
        <v>28</v>
      </c>
      <c r="I30" s="64" t="s">
        <v>13</v>
      </c>
      <c r="J30" s="64"/>
      <c r="K30" s="64"/>
      <c r="L30" s="64" t="s">
        <v>155</v>
      </c>
      <c r="O30" s="63"/>
    </row>
    <row r="31" spans="2:15" ht="314">
      <c r="B31" s="64" t="s">
        <v>156</v>
      </c>
      <c r="C31" s="64" t="s">
        <v>133</v>
      </c>
      <c r="D31" s="64" t="s">
        <v>157</v>
      </c>
      <c r="E31" s="64" t="s">
        <v>158</v>
      </c>
      <c r="F31" s="64" t="s">
        <v>23</v>
      </c>
      <c r="G31" s="64"/>
      <c r="H31" s="64" t="s">
        <v>28</v>
      </c>
      <c r="I31" s="64" t="s">
        <v>13</v>
      </c>
      <c r="J31" s="64"/>
      <c r="K31" s="64"/>
      <c r="L31" s="64" t="s">
        <v>159</v>
      </c>
    </row>
    <row r="32" spans="2:15">
      <c r="B32" s="78"/>
      <c r="C32" s="78"/>
      <c r="D32" s="78"/>
      <c r="E32" s="78" t="s">
        <v>160</v>
      </c>
      <c r="F32" s="78"/>
      <c r="G32" s="78"/>
      <c r="H32" s="78"/>
      <c r="I32" s="78"/>
      <c r="J32" s="78"/>
      <c r="K32" s="78"/>
      <c r="L32" s="78"/>
    </row>
    <row r="33" spans="2:12" ht="342">
      <c r="B33" s="64" t="s">
        <v>161</v>
      </c>
      <c r="C33" s="64" t="s">
        <v>162</v>
      </c>
      <c r="D33" s="64" t="s">
        <v>163</v>
      </c>
      <c r="E33" s="64" t="s">
        <v>164</v>
      </c>
      <c r="F33" s="64" t="s">
        <v>23</v>
      </c>
      <c r="G33" s="64"/>
      <c r="H33" s="64" t="s">
        <v>27</v>
      </c>
      <c r="I33" s="64" t="s">
        <v>13</v>
      </c>
      <c r="J33" s="64"/>
      <c r="K33" s="64"/>
      <c r="L33" s="64" t="s">
        <v>165</v>
      </c>
    </row>
    <row r="34" spans="2:12" ht="300">
      <c r="B34" s="64" t="s">
        <v>166</v>
      </c>
      <c r="C34" s="64" t="s">
        <v>162</v>
      </c>
      <c r="D34" s="64" t="s">
        <v>167</v>
      </c>
      <c r="E34" s="64" t="s">
        <v>168</v>
      </c>
      <c r="F34" s="64" t="s">
        <v>22</v>
      </c>
      <c r="G34" s="64"/>
      <c r="H34" s="64" t="s">
        <v>27</v>
      </c>
      <c r="I34" s="64" t="s">
        <v>13</v>
      </c>
      <c r="J34" s="64"/>
      <c r="K34" s="64"/>
      <c r="L34" s="64"/>
    </row>
    <row r="35" spans="2:12" ht="270">
      <c r="B35" s="64" t="s">
        <v>169</v>
      </c>
      <c r="C35" s="64" t="s">
        <v>162</v>
      </c>
      <c r="D35" s="64" t="s">
        <v>170</v>
      </c>
      <c r="E35" s="64" t="s">
        <v>171</v>
      </c>
      <c r="F35" s="64" t="s">
        <v>24</v>
      </c>
      <c r="G35" s="64"/>
      <c r="H35" s="64" t="s">
        <v>27</v>
      </c>
      <c r="I35" s="64" t="s">
        <v>13</v>
      </c>
      <c r="J35" s="64"/>
      <c r="K35" s="64"/>
      <c r="L35" s="64"/>
    </row>
    <row r="36" spans="2:12" ht="328">
      <c r="B36" s="64" t="s">
        <v>172</v>
      </c>
      <c r="C36" s="64" t="s">
        <v>162</v>
      </c>
      <c r="D36" s="64" t="s">
        <v>173</v>
      </c>
      <c r="E36" s="64" t="s">
        <v>174</v>
      </c>
      <c r="F36" s="64" t="s">
        <v>23</v>
      </c>
      <c r="G36" s="64"/>
      <c r="H36" s="64" t="s">
        <v>27</v>
      </c>
      <c r="I36" s="64" t="s">
        <v>13</v>
      </c>
      <c r="J36" s="64"/>
      <c r="K36" s="64"/>
      <c r="L36" s="64"/>
    </row>
    <row r="37" spans="2:12" ht="225">
      <c r="B37" s="64" t="s">
        <v>175</v>
      </c>
      <c r="C37" s="64" t="s">
        <v>162</v>
      </c>
      <c r="D37" s="64" t="s">
        <v>176</v>
      </c>
      <c r="E37" s="64" t="s">
        <v>177</v>
      </c>
      <c r="F37" s="64" t="s">
        <v>22</v>
      </c>
      <c r="G37" s="64"/>
      <c r="H37" s="64" t="s">
        <v>28</v>
      </c>
      <c r="I37" s="64" t="s">
        <v>13</v>
      </c>
      <c r="J37" s="64"/>
      <c r="K37" s="64"/>
      <c r="L37" s="64"/>
    </row>
    <row r="38" spans="2:12" ht="303" customHeight="1">
      <c r="B38" s="64" t="s">
        <v>178</v>
      </c>
      <c r="C38" s="64" t="s">
        <v>162</v>
      </c>
      <c r="D38" s="64" t="s">
        <v>179</v>
      </c>
      <c r="E38" s="64" t="s">
        <v>180</v>
      </c>
      <c r="F38" s="64" t="s">
        <v>22</v>
      </c>
      <c r="G38" s="64"/>
      <c r="H38" s="64" t="s">
        <v>27</v>
      </c>
      <c r="I38" s="64" t="s">
        <v>13</v>
      </c>
      <c r="J38" s="64"/>
      <c r="K38" s="64"/>
      <c r="L38" s="64"/>
    </row>
    <row r="39" spans="2:12">
      <c r="B39" s="79"/>
      <c r="C39" s="79"/>
      <c r="D39" s="79"/>
      <c r="E39" s="80" t="s">
        <v>181</v>
      </c>
      <c r="F39" s="79"/>
      <c r="G39" s="79"/>
      <c r="H39" s="79"/>
      <c r="I39" s="79"/>
      <c r="J39" s="79"/>
      <c r="K39" s="79"/>
      <c r="L39" s="79"/>
    </row>
    <row r="40" spans="2:12" ht="314">
      <c r="B40" s="64" t="s">
        <v>182</v>
      </c>
      <c r="C40" s="64" t="s">
        <v>183</v>
      </c>
      <c r="D40" s="64" t="s">
        <v>184</v>
      </c>
      <c r="E40" s="64" t="s">
        <v>185</v>
      </c>
      <c r="F40" s="64" t="s">
        <v>23</v>
      </c>
      <c r="G40" s="64"/>
      <c r="H40" s="64" t="s">
        <v>27</v>
      </c>
      <c r="I40" s="64" t="s">
        <v>13</v>
      </c>
      <c r="J40" s="64"/>
      <c r="K40" s="64"/>
      <c r="L40" s="76"/>
    </row>
    <row r="41" spans="2:12" ht="270">
      <c r="B41" s="64" t="s">
        <v>186</v>
      </c>
      <c r="C41" s="64" t="s">
        <v>183</v>
      </c>
      <c r="D41" s="64" t="s">
        <v>187</v>
      </c>
      <c r="E41" s="64" t="s">
        <v>188</v>
      </c>
      <c r="F41" s="64" t="s">
        <v>23</v>
      </c>
      <c r="G41" s="64"/>
      <c r="H41" s="64" t="s">
        <v>27</v>
      </c>
      <c r="I41" s="64" t="s">
        <v>13</v>
      </c>
      <c r="J41" s="64"/>
      <c r="K41" s="64"/>
      <c r="L41" s="76"/>
    </row>
    <row r="42" spans="2:12" ht="255">
      <c r="B42" s="64" t="s">
        <v>189</v>
      </c>
      <c r="C42" s="64" t="s">
        <v>183</v>
      </c>
      <c r="D42" s="64" t="s">
        <v>190</v>
      </c>
      <c r="E42" s="76" t="s">
        <v>191</v>
      </c>
      <c r="F42" s="64" t="s">
        <v>99</v>
      </c>
      <c r="G42" s="64"/>
      <c r="H42" s="64" t="s">
        <v>27</v>
      </c>
      <c r="I42" s="64" t="s">
        <v>13</v>
      </c>
      <c r="J42" s="64"/>
      <c r="K42" s="64"/>
      <c r="L42" s="64"/>
    </row>
    <row r="43" spans="2:12" ht="300">
      <c r="B43" s="64" t="s">
        <v>192</v>
      </c>
      <c r="C43" s="64" t="s">
        <v>183</v>
      </c>
      <c r="D43" s="64" t="s">
        <v>193</v>
      </c>
      <c r="E43" s="64" t="s">
        <v>194</v>
      </c>
      <c r="F43" s="64" t="s">
        <v>24</v>
      </c>
      <c r="G43" s="64"/>
      <c r="H43" s="64" t="s">
        <v>29</v>
      </c>
      <c r="I43" s="64" t="s">
        <v>13</v>
      </c>
      <c r="J43" s="64"/>
      <c r="K43" s="64"/>
      <c r="L43" s="64"/>
    </row>
    <row r="44" spans="2:12">
      <c r="B44" s="64" t="s">
        <v>195</v>
      </c>
      <c r="C44" s="64"/>
      <c r="D44" s="64"/>
      <c r="E44" s="64"/>
      <c r="F44" s="64"/>
      <c r="G44" s="64"/>
      <c r="H44" s="64"/>
      <c r="I44" s="64"/>
      <c r="J44" s="64"/>
      <c r="K44" s="64"/>
      <c r="L44" s="64"/>
    </row>
    <row r="45" spans="2:12">
      <c r="B45" s="64" t="s">
        <v>196</v>
      </c>
      <c r="C45" s="64"/>
      <c r="D45" s="64"/>
      <c r="E45" s="64"/>
      <c r="F45" s="64"/>
      <c r="G45" s="64"/>
      <c r="H45" s="64"/>
      <c r="I45" s="64"/>
      <c r="J45" s="64"/>
      <c r="K45" s="64"/>
      <c r="L45" s="64"/>
    </row>
    <row r="46" spans="2:12">
      <c r="B46" s="64" t="s">
        <v>197</v>
      </c>
      <c r="C46" s="64"/>
      <c r="D46" s="64"/>
      <c r="E46" s="64"/>
      <c r="F46" s="64"/>
      <c r="G46" s="64"/>
      <c r="H46" s="64"/>
      <c r="I46" s="64"/>
      <c r="J46" s="64"/>
      <c r="K46" s="64"/>
      <c r="L46" s="64"/>
    </row>
    <row r="47" spans="2:12">
      <c r="B47" s="64" t="s">
        <v>198</v>
      </c>
      <c r="C47" s="64"/>
      <c r="D47" s="64"/>
      <c r="E47" s="64"/>
      <c r="F47" s="64"/>
      <c r="G47" s="64"/>
      <c r="H47" s="64"/>
      <c r="I47" s="64"/>
      <c r="J47" s="64"/>
      <c r="K47" s="64"/>
      <c r="L47" s="64"/>
    </row>
    <row r="48" spans="2:12">
      <c r="B48" s="64" t="s">
        <v>199</v>
      </c>
      <c r="C48" s="64"/>
      <c r="D48" s="64"/>
      <c r="E48" s="64"/>
      <c r="F48" s="64"/>
      <c r="G48" s="64"/>
      <c r="H48" s="64"/>
      <c r="I48" s="64"/>
      <c r="J48" s="64"/>
      <c r="K48" s="64"/>
      <c r="L48" s="64"/>
    </row>
    <row r="49" spans="2:12">
      <c r="B49" s="64" t="s">
        <v>200</v>
      </c>
      <c r="C49" s="64"/>
      <c r="D49" s="64"/>
      <c r="E49" s="64"/>
      <c r="F49" s="64"/>
      <c r="G49" s="64"/>
      <c r="H49" s="64"/>
      <c r="I49" s="64"/>
      <c r="J49" s="64"/>
      <c r="K49" s="64"/>
      <c r="L49" s="64"/>
    </row>
    <row r="50" spans="2:12">
      <c r="B50" s="64" t="s">
        <v>201</v>
      </c>
      <c r="C50" s="64"/>
      <c r="D50" s="64"/>
      <c r="E50" s="64"/>
      <c r="F50" s="64"/>
      <c r="G50" s="64"/>
      <c r="H50" s="64"/>
      <c r="I50" s="64"/>
      <c r="J50" s="64"/>
      <c r="K50" s="64"/>
      <c r="L50" s="64"/>
    </row>
    <row r="51" spans="2:12">
      <c r="B51" s="64" t="s">
        <v>202</v>
      </c>
      <c r="C51" s="64"/>
      <c r="D51" s="64"/>
      <c r="E51" s="64"/>
      <c r="F51" s="64"/>
      <c r="G51" s="64"/>
      <c r="H51" s="64"/>
      <c r="I51" s="64"/>
      <c r="J51" s="64"/>
      <c r="K51" s="64"/>
      <c r="L51" s="64"/>
    </row>
    <row r="52" spans="2:12">
      <c r="B52" s="64" t="s">
        <v>203</v>
      </c>
      <c r="C52" s="64"/>
      <c r="D52" s="64"/>
      <c r="E52" s="64"/>
      <c r="F52" s="64"/>
      <c r="G52" s="64"/>
      <c r="H52" s="64"/>
      <c r="I52" s="64"/>
      <c r="J52" s="64"/>
      <c r="K52" s="64"/>
      <c r="L52" s="64"/>
    </row>
    <row r="53" spans="2:12">
      <c r="B53" s="64" t="s">
        <v>204</v>
      </c>
      <c r="C53" s="64"/>
      <c r="D53" s="64"/>
      <c r="E53" s="64"/>
      <c r="F53" s="64"/>
      <c r="G53" s="64"/>
      <c r="H53" s="64"/>
      <c r="I53" s="64"/>
      <c r="J53" s="64"/>
      <c r="K53" s="64"/>
      <c r="L53" s="64"/>
    </row>
    <row r="54" spans="2:12">
      <c r="B54" s="64" t="s">
        <v>205</v>
      </c>
      <c r="C54" s="64"/>
      <c r="D54" s="64"/>
      <c r="E54" s="64"/>
      <c r="F54" s="64"/>
      <c r="G54" s="64"/>
      <c r="H54" s="64"/>
      <c r="I54" s="64"/>
      <c r="J54" s="64"/>
      <c r="K54" s="64"/>
      <c r="L54" s="64"/>
    </row>
    <row r="55" spans="2:12">
      <c r="B55" s="64" t="s">
        <v>206</v>
      </c>
      <c r="C55" s="64"/>
      <c r="D55" s="64"/>
      <c r="E55" s="64"/>
      <c r="F55" s="64"/>
      <c r="G55" s="64"/>
      <c r="H55" s="64"/>
      <c r="I55" s="64"/>
      <c r="J55" s="64"/>
      <c r="K55" s="64"/>
      <c r="L55" s="64"/>
    </row>
    <row r="56" spans="2:12">
      <c r="B56" s="64" t="s">
        <v>207</v>
      </c>
      <c r="C56" s="64"/>
      <c r="D56" s="64"/>
      <c r="E56" s="64"/>
      <c r="F56" s="64"/>
      <c r="G56" s="64"/>
      <c r="H56" s="64"/>
      <c r="I56" s="64"/>
      <c r="J56" s="64"/>
      <c r="K56" s="64"/>
      <c r="L56" s="64"/>
    </row>
    <row r="57" spans="2:12">
      <c r="B57" s="64" t="s">
        <v>208</v>
      </c>
      <c r="C57" s="64"/>
      <c r="D57" s="64"/>
      <c r="E57" s="64"/>
      <c r="F57" s="64"/>
      <c r="G57" s="64"/>
      <c r="H57" s="64"/>
      <c r="I57" s="64"/>
      <c r="J57" s="64"/>
      <c r="K57" s="64"/>
      <c r="L57" s="64"/>
    </row>
    <row r="58" spans="2:12">
      <c r="B58" s="64" t="s">
        <v>209</v>
      </c>
      <c r="C58" s="64"/>
      <c r="D58" s="64"/>
      <c r="E58" s="64"/>
      <c r="F58" s="64"/>
      <c r="G58" s="64"/>
      <c r="H58" s="64"/>
      <c r="I58" s="64"/>
      <c r="J58" s="64"/>
      <c r="K58" s="64"/>
      <c r="L58" s="64"/>
    </row>
    <row r="59" spans="2:12">
      <c r="B59" s="64" t="s">
        <v>210</v>
      </c>
      <c r="C59" s="64"/>
      <c r="D59" s="64"/>
      <c r="E59" s="64"/>
      <c r="F59" s="64"/>
      <c r="G59" s="64"/>
      <c r="H59" s="64"/>
      <c r="I59" s="64"/>
      <c r="J59" s="64"/>
      <c r="K59" s="64"/>
      <c r="L59" s="64"/>
    </row>
    <row r="60" spans="2:12">
      <c r="B60" s="64" t="s">
        <v>211</v>
      </c>
      <c r="C60" s="64"/>
      <c r="D60" s="64"/>
      <c r="E60" s="64"/>
      <c r="F60" s="64"/>
      <c r="G60" s="64"/>
      <c r="H60" s="64"/>
      <c r="I60" s="64"/>
      <c r="J60" s="64"/>
      <c r="K60" s="64"/>
      <c r="L60" s="64"/>
    </row>
    <row r="61" spans="2:12">
      <c r="B61" s="64" t="s">
        <v>212</v>
      </c>
      <c r="C61" s="64"/>
      <c r="D61" s="64"/>
      <c r="E61" s="64"/>
      <c r="F61" s="64"/>
      <c r="G61" s="64"/>
      <c r="H61" s="64"/>
      <c r="I61" s="64"/>
      <c r="J61" s="64"/>
      <c r="K61" s="64"/>
      <c r="L61" s="64"/>
    </row>
    <row r="62" spans="2:12">
      <c r="B62" s="64" t="s">
        <v>213</v>
      </c>
      <c r="C62" s="64"/>
      <c r="D62" s="64"/>
      <c r="E62" s="64"/>
      <c r="F62" s="64"/>
      <c r="G62" s="64"/>
      <c r="H62" s="64"/>
      <c r="I62" s="64"/>
      <c r="J62" s="64"/>
      <c r="K62" s="64"/>
      <c r="L62" s="64"/>
    </row>
    <row r="63" spans="2:12">
      <c r="B63" s="64" t="s">
        <v>214</v>
      </c>
      <c r="C63" s="64"/>
      <c r="D63" s="64"/>
      <c r="E63" s="64"/>
      <c r="F63" s="64"/>
      <c r="G63" s="64"/>
      <c r="H63" s="64"/>
      <c r="I63" s="64"/>
      <c r="J63" s="64"/>
      <c r="K63" s="64"/>
      <c r="L63" s="64"/>
    </row>
  </sheetData>
  <dataConsolidate/>
  <mergeCells count="1">
    <mergeCell ref="E2:H2"/>
  </mergeCells>
  <phoneticPr fontId="3" type="noConversion"/>
  <dataValidations count="5">
    <dataValidation type="list" allowBlank="1" showInputMessage="1" showErrorMessage="1" sqref="J44:J63 J42 I9 I23:I63 I12:I21" xr:uid="{E83C6087-EB50-483D-8927-12C30F9DF782}">
      <formula1>"Pending,Reviewing,Included,Not included"</formula1>
    </dataValidation>
    <dataValidation type="list" allowBlank="1" showInputMessage="1" showErrorMessage="1" sqref="J43 J18:J21 J23:J41" xr:uid="{045DD103-48E3-49D2-AA76-1F798950C37F}">
      <formula1>"Discovery 1,Discovery 2,Discovery 3,Discovery 4"</formula1>
    </dataValidation>
    <dataValidation type="list" allowBlank="1" showInputMessage="1" showErrorMessage="1" sqref="I10:I11" xr:uid="{E9C53A92-BE5B-40E5-B619-96F4E446AAC4}">
      <formula1>"Pending,Reviewing,Included,Not included,Blocked"</formula1>
    </dataValidation>
    <dataValidation type="list" allowBlank="1" showInputMessage="1" showErrorMessage="1" sqref="H23:H63 H9:H21" xr:uid="{8D940070-0F57-4FC8-A7E1-1FEB83B45AA4}">
      <formula1>"Must have,Should have,Could have,Will not have"</formula1>
    </dataValidation>
    <dataValidation type="list" allowBlank="1" showInputMessage="1" showErrorMessage="1" sqref="F9:F63" xr:uid="{BCD3BF32-FC16-41A9-8613-27E5BE716201}">
      <formula1>"Business,User,Technology,Lifecycle,Infraestructure,Business,Functional"</formula1>
    </dataValidation>
  </dataValidations>
  <pageMargins left="0.7" right="0.7" top="0.75" bottom="0.75" header="0.3" footer="0.3"/>
  <pageSetup paperSize="9" orientation="portrait" horizontalDpi="300" verticalDpi="300"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1433E-F669-4D31-9E9A-CD51B6514FDE}">
  <dimension ref="B2:H38"/>
  <sheetViews>
    <sheetView tabSelected="1" zoomScale="156" zoomScaleNormal="180" workbookViewId="0">
      <selection activeCell="F8" sqref="F8"/>
    </sheetView>
  </sheetViews>
  <sheetFormatPr baseColWidth="10" defaultColWidth="8.6640625" defaultRowHeight="15"/>
  <cols>
    <col min="1" max="1" width="4.6640625" style="89" customWidth="1"/>
    <col min="2" max="2" width="4.1640625" style="89" customWidth="1"/>
    <col min="3" max="4" width="14.1640625" style="89" customWidth="1"/>
    <col min="5" max="5" width="31.6640625" style="89" customWidth="1"/>
    <col min="6" max="6" width="69.5" style="89" customWidth="1"/>
    <col min="7" max="7" width="13.6640625" style="89" bestFit="1" customWidth="1"/>
    <col min="8" max="8" width="22.1640625" style="89" customWidth="1"/>
    <col min="9" max="16384" width="8.6640625" style="89"/>
  </cols>
  <sheetData>
    <row r="2" spans="2:8" ht="34.25" customHeight="1">
      <c r="B2" s="58" t="s">
        <v>215</v>
      </c>
      <c r="C2" s="91"/>
      <c r="D2" s="91"/>
      <c r="E2" s="91"/>
      <c r="F2" s="94" t="s">
        <v>216</v>
      </c>
      <c r="G2" s="94"/>
      <c r="H2" s="94"/>
    </row>
    <row r="3" spans="2:8" ht="16" thickBot="1"/>
    <row r="4" spans="2:8" ht="17" thickBot="1">
      <c r="C4" s="17" t="s">
        <v>4</v>
      </c>
      <c r="D4" s="15" t="str">
        <f>Summary!D4</f>
        <v>Portal Agentes</v>
      </c>
      <c r="E4" s="90"/>
      <c r="G4" s="14" t="s">
        <v>42</v>
      </c>
      <c r="H4" s="15" t="s">
        <v>319</v>
      </c>
    </row>
    <row r="5" spans="2:8" ht="17" thickBot="1">
      <c r="C5" s="17" t="s">
        <v>8</v>
      </c>
      <c r="D5" s="16" t="str">
        <f>Summary!D5</f>
        <v>Alex Olivé</v>
      </c>
      <c r="E5" s="90"/>
      <c r="G5" s="14" t="s">
        <v>10</v>
      </c>
      <c r="H5" s="95">
        <v>46037</v>
      </c>
    </row>
    <row r="6" spans="2:8" ht="20" customHeight="1">
      <c r="C6" s="90"/>
      <c r="D6" s="90"/>
      <c r="E6" s="90"/>
      <c r="F6" s="90"/>
      <c r="G6" s="90"/>
      <c r="H6" s="90"/>
    </row>
    <row r="7" spans="2:8" ht="16">
      <c r="B7" s="2" t="s">
        <v>44</v>
      </c>
      <c r="C7" s="2" t="s">
        <v>72</v>
      </c>
      <c r="D7" s="2" t="s">
        <v>78</v>
      </c>
      <c r="E7" s="2" t="s">
        <v>217</v>
      </c>
      <c r="F7" s="2" t="s">
        <v>47</v>
      </c>
      <c r="G7" s="2" t="s">
        <v>218</v>
      </c>
      <c r="H7" s="49" t="s">
        <v>79</v>
      </c>
    </row>
    <row r="8" spans="2:8" ht="196">
      <c r="B8" s="83" t="s">
        <v>219</v>
      </c>
      <c r="C8" s="83" t="s">
        <v>220</v>
      </c>
      <c r="D8" s="83" t="s">
        <v>221</v>
      </c>
      <c r="E8" s="83" t="s">
        <v>82</v>
      </c>
      <c r="F8" s="84" t="s">
        <v>222</v>
      </c>
      <c r="G8" s="83" t="s">
        <v>223</v>
      </c>
      <c r="H8" s="83"/>
    </row>
    <row r="9" spans="2:8" ht="252">
      <c r="B9" s="83" t="s">
        <v>224</v>
      </c>
      <c r="C9" s="83" t="s">
        <v>220</v>
      </c>
      <c r="D9" s="83" t="s">
        <v>225</v>
      </c>
      <c r="E9" s="83" t="s">
        <v>86</v>
      </c>
      <c r="F9" s="83" t="s">
        <v>226</v>
      </c>
      <c r="G9" s="83" t="s">
        <v>223</v>
      </c>
      <c r="H9" s="83"/>
    </row>
    <row r="10" spans="2:8" ht="175.5" customHeight="1">
      <c r="B10" s="83" t="s">
        <v>227</v>
      </c>
      <c r="C10" s="83" t="s">
        <v>220</v>
      </c>
      <c r="D10" s="83" t="s">
        <v>225</v>
      </c>
      <c r="E10" s="83" t="s">
        <v>89</v>
      </c>
      <c r="F10" s="83" t="s">
        <v>228</v>
      </c>
      <c r="G10" s="83" t="s">
        <v>223</v>
      </c>
      <c r="H10" s="83"/>
    </row>
    <row r="11" spans="2:8" ht="168">
      <c r="B11" s="83" t="s">
        <v>229</v>
      </c>
      <c r="C11" s="83" t="s">
        <v>220</v>
      </c>
      <c r="D11" s="83" t="s">
        <v>221</v>
      </c>
      <c r="E11" s="83" t="s">
        <v>230</v>
      </c>
      <c r="F11" s="83" t="s">
        <v>231</v>
      </c>
      <c r="G11" s="83" t="s">
        <v>223</v>
      </c>
      <c r="H11" s="83"/>
    </row>
    <row r="12" spans="2:8" ht="165" customHeight="1">
      <c r="B12" s="83" t="s">
        <v>232</v>
      </c>
      <c r="C12" s="83" t="s">
        <v>220</v>
      </c>
      <c r="D12" s="83" t="s">
        <v>221</v>
      </c>
      <c r="E12" s="83" t="s">
        <v>233</v>
      </c>
      <c r="F12" s="83" t="s">
        <v>234</v>
      </c>
      <c r="G12" s="83" t="s">
        <v>223</v>
      </c>
      <c r="H12" s="83"/>
    </row>
    <row r="13" spans="2:8" ht="99" customHeight="1">
      <c r="B13" s="83" t="s">
        <v>235</v>
      </c>
      <c r="C13" s="83" t="s">
        <v>220</v>
      </c>
      <c r="D13" s="83" t="s">
        <v>221</v>
      </c>
      <c r="E13" s="83" t="s">
        <v>236</v>
      </c>
      <c r="F13" s="84" t="s">
        <v>237</v>
      </c>
      <c r="G13" s="83" t="s">
        <v>223</v>
      </c>
      <c r="H13" s="88"/>
    </row>
    <row r="14" spans="2:8" ht="252">
      <c r="B14" s="83" t="s">
        <v>238</v>
      </c>
      <c r="C14" s="83" t="s">
        <v>220</v>
      </c>
      <c r="D14" s="83" t="s">
        <v>239</v>
      </c>
      <c r="E14" s="83" t="s">
        <v>240</v>
      </c>
      <c r="F14" s="84" t="s">
        <v>241</v>
      </c>
      <c r="G14" s="83" t="s">
        <v>223</v>
      </c>
      <c r="H14" s="88" t="s">
        <v>317</v>
      </c>
    </row>
    <row r="15" spans="2:8" ht="168">
      <c r="B15" s="83" t="s">
        <v>242</v>
      </c>
      <c r="C15" s="83" t="s">
        <v>220</v>
      </c>
      <c r="D15" s="83" t="s">
        <v>221</v>
      </c>
      <c r="E15" s="83" t="s">
        <v>107</v>
      </c>
      <c r="F15" s="83" t="s">
        <v>243</v>
      </c>
      <c r="G15" s="83" t="s">
        <v>223</v>
      </c>
      <c r="H15" s="83"/>
    </row>
    <row r="16" spans="2:8" ht="126">
      <c r="B16" s="83" t="s">
        <v>244</v>
      </c>
      <c r="C16" s="83" t="s">
        <v>111</v>
      </c>
      <c r="D16" s="83" t="s">
        <v>245</v>
      </c>
      <c r="E16" s="83" t="s">
        <v>112</v>
      </c>
      <c r="F16" s="83" t="s">
        <v>246</v>
      </c>
      <c r="G16" s="83" t="s">
        <v>247</v>
      </c>
      <c r="H16" s="83"/>
    </row>
    <row r="17" spans="2:8" ht="224">
      <c r="B17" s="83" t="s">
        <v>248</v>
      </c>
      <c r="C17" s="83" t="s">
        <v>111</v>
      </c>
      <c r="D17" s="83" t="s">
        <v>245</v>
      </c>
      <c r="E17" s="83" t="s">
        <v>115</v>
      </c>
      <c r="F17" s="83" t="s">
        <v>249</v>
      </c>
      <c r="G17" s="83" t="s">
        <v>247</v>
      </c>
      <c r="H17" s="83"/>
    </row>
    <row r="18" spans="2:8" ht="196">
      <c r="B18" s="83" t="s">
        <v>250</v>
      </c>
      <c r="C18" s="83" t="s">
        <v>111</v>
      </c>
      <c r="D18" s="83" t="s">
        <v>245</v>
      </c>
      <c r="E18" s="83" t="s">
        <v>118</v>
      </c>
      <c r="F18" s="83" t="s">
        <v>251</v>
      </c>
      <c r="G18" s="83" t="s">
        <v>247</v>
      </c>
      <c r="H18" s="83"/>
    </row>
    <row r="19" spans="2:8" ht="255.75" customHeight="1">
      <c r="B19" s="83" t="s">
        <v>252</v>
      </c>
      <c r="C19" s="83" t="s">
        <v>121</v>
      </c>
      <c r="D19" s="83" t="s">
        <v>245</v>
      </c>
      <c r="E19" s="83" t="s">
        <v>122</v>
      </c>
      <c r="F19" s="83" t="s">
        <v>253</v>
      </c>
      <c r="G19" s="83" t="s">
        <v>247</v>
      </c>
      <c r="H19" s="83"/>
    </row>
    <row r="20" spans="2:8" ht="206.25" customHeight="1">
      <c r="B20" s="83" t="s">
        <v>254</v>
      </c>
      <c r="C20" s="83" t="s">
        <v>121</v>
      </c>
      <c r="D20" s="83" t="s">
        <v>245</v>
      </c>
      <c r="E20" s="83" t="s">
        <v>126</v>
      </c>
      <c r="F20" s="83" t="s">
        <v>255</v>
      </c>
      <c r="G20" s="83" t="s">
        <v>247</v>
      </c>
      <c r="H20" s="83"/>
    </row>
    <row r="21" spans="2:8" ht="238">
      <c r="B21" s="83" t="s">
        <v>256</v>
      </c>
      <c r="C21" s="83" t="s">
        <v>111</v>
      </c>
      <c r="D21" s="83" t="s">
        <v>245</v>
      </c>
      <c r="E21" s="83" t="s">
        <v>129</v>
      </c>
      <c r="F21" s="83" t="s">
        <v>320</v>
      </c>
      <c r="G21" s="83" t="s">
        <v>247</v>
      </c>
      <c r="H21" s="88" t="s">
        <v>315</v>
      </c>
    </row>
    <row r="22" spans="2:8" ht="345">
      <c r="B22" s="83" t="s">
        <v>257</v>
      </c>
      <c r="C22" s="83" t="s">
        <v>133</v>
      </c>
      <c r="D22" s="83" t="s">
        <v>245</v>
      </c>
      <c r="E22" s="83" t="s">
        <v>134</v>
      </c>
      <c r="F22" s="83" t="s">
        <v>321</v>
      </c>
      <c r="G22" s="83" t="s">
        <v>223</v>
      </c>
      <c r="H22" s="88" t="s">
        <v>316</v>
      </c>
    </row>
    <row r="23" spans="2:8" ht="267.75" customHeight="1">
      <c r="B23" s="83" t="s">
        <v>258</v>
      </c>
      <c r="C23" s="83" t="s">
        <v>133</v>
      </c>
      <c r="D23" s="83" t="s">
        <v>245</v>
      </c>
      <c r="E23" s="83" t="s">
        <v>138</v>
      </c>
      <c r="F23" s="83" t="s">
        <v>259</v>
      </c>
      <c r="G23" s="83" t="s">
        <v>223</v>
      </c>
      <c r="H23" s="83"/>
    </row>
    <row r="24" spans="2:8" ht="273" customHeight="1">
      <c r="B24" s="83" t="s">
        <v>260</v>
      </c>
      <c r="C24" s="83" t="s">
        <v>133</v>
      </c>
      <c r="D24" s="83" t="s">
        <v>245</v>
      </c>
      <c r="E24" s="83" t="s">
        <v>142</v>
      </c>
      <c r="F24" s="83" t="s">
        <v>322</v>
      </c>
      <c r="G24" s="83" t="s">
        <v>223</v>
      </c>
      <c r="H24" s="88"/>
    </row>
    <row r="25" spans="2:8" ht="154">
      <c r="B25" s="83" t="s">
        <v>261</v>
      </c>
      <c r="C25" s="83" t="s">
        <v>133</v>
      </c>
      <c r="D25" s="83" t="s">
        <v>245</v>
      </c>
      <c r="E25" s="83" t="s">
        <v>146</v>
      </c>
      <c r="F25" s="83" t="s">
        <v>323</v>
      </c>
      <c r="G25" s="83" t="s">
        <v>223</v>
      </c>
      <c r="H25" s="88"/>
    </row>
    <row r="26" spans="2:8" ht="213" customHeight="1">
      <c r="B26" s="83" t="s">
        <v>262</v>
      </c>
      <c r="C26" s="83" t="s">
        <v>133</v>
      </c>
      <c r="D26" s="83" t="s">
        <v>245</v>
      </c>
      <c r="E26" s="83" t="s">
        <v>150</v>
      </c>
      <c r="F26" s="83" t="s">
        <v>324</v>
      </c>
      <c r="G26" s="83" t="s">
        <v>223</v>
      </c>
      <c r="H26" s="83"/>
    </row>
    <row r="27" spans="2:8" ht="133" customHeight="1">
      <c r="B27" s="83" t="s">
        <v>263</v>
      </c>
      <c r="C27" s="83" t="s">
        <v>133</v>
      </c>
      <c r="D27" s="83" t="s">
        <v>245</v>
      </c>
      <c r="E27" s="83" t="s">
        <v>153</v>
      </c>
      <c r="F27" s="83" t="s">
        <v>264</v>
      </c>
      <c r="G27" s="83" t="s">
        <v>247</v>
      </c>
      <c r="H27" s="86"/>
    </row>
    <row r="28" spans="2:8" ht="252">
      <c r="B28" s="83" t="s">
        <v>265</v>
      </c>
      <c r="C28" s="83" t="s">
        <v>133</v>
      </c>
      <c r="D28" s="83" t="s">
        <v>266</v>
      </c>
      <c r="E28" s="83" t="s">
        <v>157</v>
      </c>
      <c r="F28" s="83" t="s">
        <v>267</v>
      </c>
      <c r="G28" s="83" t="s">
        <v>247</v>
      </c>
      <c r="H28" s="83"/>
    </row>
    <row r="29" spans="2:8" ht="168">
      <c r="B29" s="83" t="s">
        <v>268</v>
      </c>
      <c r="C29" s="83" t="s">
        <v>162</v>
      </c>
      <c r="D29" s="83" t="s">
        <v>269</v>
      </c>
      <c r="E29" s="83" t="s">
        <v>163</v>
      </c>
      <c r="F29" s="83" t="s">
        <v>325</v>
      </c>
      <c r="G29" s="83" t="s">
        <v>247</v>
      </c>
      <c r="H29" s="83"/>
    </row>
    <row r="30" spans="2:8" ht="210">
      <c r="B30" s="83" t="s">
        <v>270</v>
      </c>
      <c r="C30" s="83" t="s">
        <v>162</v>
      </c>
      <c r="D30" s="83" t="s">
        <v>269</v>
      </c>
      <c r="E30" s="83" t="s">
        <v>167</v>
      </c>
      <c r="F30" s="83" t="s">
        <v>326</v>
      </c>
      <c r="G30" s="83" t="s">
        <v>223</v>
      </c>
      <c r="H30" s="84"/>
    </row>
    <row r="31" spans="2:8" ht="132" customHeight="1">
      <c r="B31" s="83" t="s">
        <v>271</v>
      </c>
      <c r="C31" s="83" t="s">
        <v>162</v>
      </c>
      <c r="D31" s="83" t="s">
        <v>269</v>
      </c>
      <c r="E31" s="83" t="s">
        <v>170</v>
      </c>
      <c r="F31" s="83" t="s">
        <v>272</v>
      </c>
      <c r="G31" s="83" t="s">
        <v>273</v>
      </c>
      <c r="H31" s="83"/>
    </row>
    <row r="32" spans="2:8" ht="199.5" customHeight="1">
      <c r="B32" s="83" t="s">
        <v>274</v>
      </c>
      <c r="C32" s="83" t="s">
        <v>162</v>
      </c>
      <c r="D32" s="83" t="s">
        <v>269</v>
      </c>
      <c r="E32" s="83" t="s">
        <v>173</v>
      </c>
      <c r="F32" s="83" t="s">
        <v>275</v>
      </c>
      <c r="G32" s="83" t="s">
        <v>247</v>
      </c>
      <c r="H32" s="87"/>
    </row>
    <row r="33" spans="2:8" ht="126">
      <c r="B33" s="83" t="s">
        <v>276</v>
      </c>
      <c r="C33" s="83" t="s">
        <v>162</v>
      </c>
      <c r="D33" s="83" t="s">
        <v>277</v>
      </c>
      <c r="E33" s="83" t="s">
        <v>176</v>
      </c>
      <c r="F33" s="83" t="s">
        <v>327</v>
      </c>
      <c r="G33" s="83" t="s">
        <v>223</v>
      </c>
      <c r="H33" s="83"/>
    </row>
    <row r="34" spans="2:8" ht="168">
      <c r="B34" s="83" t="s">
        <v>278</v>
      </c>
      <c r="C34" s="83" t="s">
        <v>162</v>
      </c>
      <c r="D34" s="83" t="s">
        <v>277</v>
      </c>
      <c r="E34" s="83" t="s">
        <v>279</v>
      </c>
      <c r="F34" s="83" t="s">
        <v>280</v>
      </c>
      <c r="G34" s="83" t="s">
        <v>273</v>
      </c>
      <c r="H34" s="88" t="s">
        <v>328</v>
      </c>
    </row>
    <row r="35" spans="2:8" ht="244.5" customHeight="1">
      <c r="B35" s="83" t="s">
        <v>281</v>
      </c>
      <c r="C35" s="83" t="s">
        <v>183</v>
      </c>
      <c r="D35" s="83" t="s">
        <v>282</v>
      </c>
      <c r="E35" s="83" t="s">
        <v>283</v>
      </c>
      <c r="F35" s="83" t="s">
        <v>284</v>
      </c>
      <c r="G35" s="83" t="s">
        <v>247</v>
      </c>
      <c r="H35" s="83"/>
    </row>
    <row r="36" spans="2:8" ht="265" customHeight="1">
      <c r="B36" s="83" t="s">
        <v>285</v>
      </c>
      <c r="C36" s="83" t="s">
        <v>183</v>
      </c>
      <c r="D36" s="83" t="s">
        <v>282</v>
      </c>
      <c r="E36" s="83" t="s">
        <v>187</v>
      </c>
      <c r="F36" s="83" t="s">
        <v>286</v>
      </c>
      <c r="G36" s="83" t="s">
        <v>247</v>
      </c>
      <c r="H36" s="83"/>
    </row>
    <row r="37" spans="2:8" ht="207.75" customHeight="1">
      <c r="B37" s="83" t="s">
        <v>287</v>
      </c>
      <c r="C37" s="83" t="s">
        <v>183</v>
      </c>
      <c r="D37" s="83" t="s">
        <v>277</v>
      </c>
      <c r="E37" s="83" t="s">
        <v>288</v>
      </c>
      <c r="F37" s="83" t="s">
        <v>289</v>
      </c>
      <c r="G37" s="83" t="s">
        <v>273</v>
      </c>
      <c r="H37" s="83"/>
    </row>
    <row r="38" spans="2:8" ht="268" customHeight="1">
      <c r="B38" s="83" t="s">
        <v>290</v>
      </c>
      <c r="C38" s="83" t="s">
        <v>183</v>
      </c>
      <c r="D38" s="83" t="s">
        <v>277</v>
      </c>
      <c r="E38" s="83" t="s">
        <v>193</v>
      </c>
      <c r="F38" s="83" t="s">
        <v>291</v>
      </c>
      <c r="G38" s="83" t="s">
        <v>273</v>
      </c>
      <c r="H38" s="88" t="s">
        <v>318</v>
      </c>
    </row>
  </sheetData>
  <mergeCells count="1">
    <mergeCell ref="F2:H2"/>
  </mergeCells>
  <phoneticPr fontId="3" type="noConversion"/>
  <dataValidations count="1">
    <dataValidation allowBlank="1" showInputMessage="1" showErrorMessage="1" sqref="H8:H38" xr:uid="{FB30594E-A66D-469A-9514-67B506C81D08}"/>
  </dataValidations>
  <pageMargins left="0.7" right="0.7" top="0.75" bottom="0.75" header="0.3" footer="0.3"/>
  <pageSetup paperSize="9" orientation="portrait" horizontalDpi="300" verticalDpi="30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CD865-396D-6441-A104-3AF9BDE916D1}">
  <dimension ref="B2:G10"/>
  <sheetViews>
    <sheetView zoomScale="143" zoomScaleNormal="150" workbookViewId="0">
      <selection activeCell="C17" sqref="C17"/>
    </sheetView>
  </sheetViews>
  <sheetFormatPr baseColWidth="10" defaultRowHeight="15"/>
  <cols>
    <col min="1" max="1" width="2.6640625" style="89" customWidth="1"/>
    <col min="2" max="2" width="3" style="89" customWidth="1"/>
    <col min="3" max="3" width="37.5" style="89" bestFit="1" customWidth="1"/>
    <col min="4" max="4" width="30" style="89" customWidth="1"/>
    <col min="5" max="5" width="46.6640625" style="89" customWidth="1"/>
    <col min="6" max="6" width="63" style="89" customWidth="1"/>
    <col min="7" max="7" width="8.1640625" style="89" customWidth="1"/>
    <col min="8" max="16384" width="10.83203125" style="89"/>
  </cols>
  <sheetData>
    <row r="2" spans="2:7" ht="26">
      <c r="B2" s="58" t="s">
        <v>329</v>
      </c>
      <c r="C2" s="58"/>
      <c r="D2" s="58"/>
    </row>
    <row r="4" spans="2:7" ht="18">
      <c r="B4" s="96" t="s">
        <v>330</v>
      </c>
      <c r="C4" s="97" t="s">
        <v>331</v>
      </c>
      <c r="D4" s="98" t="s">
        <v>332</v>
      </c>
      <c r="E4" s="97" t="s">
        <v>333</v>
      </c>
      <c r="F4" s="97" t="s">
        <v>334</v>
      </c>
      <c r="G4" s="99" t="s">
        <v>335</v>
      </c>
    </row>
    <row r="5" spans="2:7" ht="60">
      <c r="B5" s="100">
        <v>1</v>
      </c>
      <c r="C5" s="110" t="s">
        <v>336</v>
      </c>
      <c r="D5" s="105" t="s">
        <v>337</v>
      </c>
      <c r="E5" s="105" t="s">
        <v>338</v>
      </c>
      <c r="F5" s="105" t="s">
        <v>339</v>
      </c>
      <c r="G5" s="103" t="s">
        <v>360</v>
      </c>
    </row>
    <row r="6" spans="2:7" ht="60">
      <c r="B6" s="101">
        <v>2</v>
      </c>
      <c r="C6" s="111" t="s">
        <v>340</v>
      </c>
      <c r="D6" s="106" t="s">
        <v>341</v>
      </c>
      <c r="E6" s="106" t="s">
        <v>342</v>
      </c>
      <c r="F6" s="106" t="s">
        <v>343</v>
      </c>
      <c r="G6" s="103" t="s">
        <v>360</v>
      </c>
    </row>
    <row r="7" spans="2:7" ht="80">
      <c r="B7" s="100">
        <v>3</v>
      </c>
      <c r="C7" s="110" t="s">
        <v>344</v>
      </c>
      <c r="D7" s="105" t="s">
        <v>345</v>
      </c>
      <c r="E7" s="105" t="s">
        <v>346</v>
      </c>
      <c r="F7" s="105" t="s">
        <v>347</v>
      </c>
      <c r="G7" s="103" t="s">
        <v>360</v>
      </c>
    </row>
    <row r="8" spans="2:7" ht="40">
      <c r="B8" s="101">
        <v>4</v>
      </c>
      <c r="C8" s="111" t="s">
        <v>348</v>
      </c>
      <c r="D8" s="106" t="s">
        <v>349</v>
      </c>
      <c r="E8" s="106" t="s">
        <v>350</v>
      </c>
      <c r="F8" s="107" t="s">
        <v>351</v>
      </c>
      <c r="G8" s="103" t="s">
        <v>360</v>
      </c>
    </row>
    <row r="9" spans="2:7" ht="60">
      <c r="B9" s="100">
        <v>5</v>
      </c>
      <c r="C9" s="110" t="s">
        <v>352</v>
      </c>
      <c r="D9" s="105" t="s">
        <v>353</v>
      </c>
      <c r="E9" s="105" t="s">
        <v>354</v>
      </c>
      <c r="F9" s="105" t="s">
        <v>355</v>
      </c>
      <c r="G9" s="103" t="s">
        <v>360</v>
      </c>
    </row>
    <row r="10" spans="2:7" ht="60">
      <c r="B10" s="102">
        <v>6</v>
      </c>
      <c r="C10" s="112" t="s">
        <v>356</v>
      </c>
      <c r="D10" s="108" t="s">
        <v>357</v>
      </c>
      <c r="E10" s="108" t="s">
        <v>358</v>
      </c>
      <c r="F10" s="109" t="s">
        <v>359</v>
      </c>
      <c r="G10" s="104" t="s">
        <v>360</v>
      </c>
    </row>
  </sheetData>
  <dataValidations count="1">
    <dataValidation type="list" allowBlank="1" showInputMessage="1" showErrorMessage="1" sqref="G5:G10" xr:uid="{BC20752D-64F9-5445-8645-96A83ED8E0A5}">
      <formula1>"Done,Undone"</formula1>
    </dataValidation>
  </dataValidation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8491D-21C5-4BA7-A742-3086D5E55C95}">
  <dimension ref="A1:A33"/>
  <sheetViews>
    <sheetView workbookViewId="0">
      <selection activeCell="B6" sqref="B6"/>
    </sheetView>
  </sheetViews>
  <sheetFormatPr baseColWidth="10" defaultColWidth="8.83203125" defaultRowHeight="15"/>
  <cols>
    <col min="1" max="1" width="57.6640625" bestFit="1" customWidth="1"/>
    <col min="2" max="2" width="17.6640625" bestFit="1" customWidth="1"/>
    <col min="3" max="3" width="46.6640625" bestFit="1" customWidth="1"/>
    <col min="4" max="4" width="44.33203125" bestFit="1" customWidth="1"/>
    <col min="5" max="5" width="58.83203125" bestFit="1" customWidth="1"/>
    <col min="6" max="6" width="42.83203125" bestFit="1" customWidth="1"/>
    <col min="7" max="7" width="36.6640625" bestFit="1" customWidth="1"/>
    <col min="8" max="8" width="55.83203125" bestFit="1" customWidth="1"/>
    <col min="9" max="9" width="46.6640625" bestFit="1" customWidth="1"/>
    <col min="10" max="10" width="12.5" bestFit="1" customWidth="1"/>
  </cols>
  <sheetData>
    <row r="1" spans="1:1">
      <c r="A1" s="85" t="s">
        <v>78</v>
      </c>
    </row>
    <row r="2" spans="1:1">
      <c r="A2" t="s">
        <v>112</v>
      </c>
    </row>
    <row r="3" spans="1:1">
      <c r="A3" t="s">
        <v>190</v>
      </c>
    </row>
    <row r="4" spans="1:1">
      <c r="A4" t="s">
        <v>82</v>
      </c>
    </row>
    <row r="5" spans="1:1">
      <c r="A5" t="s">
        <v>134</v>
      </c>
    </row>
    <row r="6" spans="1:1">
      <c r="A6" t="s">
        <v>167</v>
      </c>
    </row>
    <row r="7" spans="1:1">
      <c r="A7" t="s">
        <v>101</v>
      </c>
    </row>
    <row r="8" spans="1:1">
      <c r="A8" t="s">
        <v>163</v>
      </c>
    </row>
    <row r="9" spans="1:1">
      <c r="A9" t="s">
        <v>187</v>
      </c>
    </row>
    <row r="10" spans="1:1">
      <c r="A10" t="s">
        <v>184</v>
      </c>
    </row>
    <row r="11" spans="1:1">
      <c r="A11" t="s">
        <v>179</v>
      </c>
    </row>
    <row r="12" spans="1:1">
      <c r="A12" t="s">
        <v>86</v>
      </c>
    </row>
    <row r="13" spans="1:1">
      <c r="A13" t="s">
        <v>126</v>
      </c>
    </row>
    <row r="14" spans="1:1">
      <c r="A14" t="s">
        <v>146</v>
      </c>
    </row>
    <row r="15" spans="1:1">
      <c r="A15" t="s">
        <v>93</v>
      </c>
    </row>
    <row r="16" spans="1:1">
      <c r="A16" t="s">
        <v>173</v>
      </c>
    </row>
    <row r="17" spans="1:1">
      <c r="A17" t="s">
        <v>157</v>
      </c>
    </row>
    <row r="18" spans="1:1">
      <c r="A18" t="s">
        <v>170</v>
      </c>
    </row>
    <row r="19" spans="1:1">
      <c r="A19" t="s">
        <v>115</v>
      </c>
    </row>
    <row r="20" spans="1:1">
      <c r="A20" t="s">
        <v>193</v>
      </c>
    </row>
    <row r="21" spans="1:1">
      <c r="A21" t="s">
        <v>142</v>
      </c>
    </row>
    <row r="22" spans="1:1">
      <c r="A22" t="s">
        <v>89</v>
      </c>
    </row>
    <row r="23" spans="1:1">
      <c r="A23" t="s">
        <v>122</v>
      </c>
    </row>
    <row r="24" spans="1:1">
      <c r="A24" t="s">
        <v>176</v>
      </c>
    </row>
    <row r="25" spans="1:1">
      <c r="A25" t="s">
        <v>292</v>
      </c>
    </row>
    <row r="26" spans="1:1">
      <c r="A26" t="s">
        <v>97</v>
      </c>
    </row>
    <row r="27" spans="1:1">
      <c r="A27" t="s">
        <v>138</v>
      </c>
    </row>
    <row r="28" spans="1:1">
      <c r="A28" t="s">
        <v>107</v>
      </c>
    </row>
    <row r="29" spans="1:1">
      <c r="A29" t="s">
        <v>150</v>
      </c>
    </row>
    <row r="30" spans="1:1">
      <c r="A30" t="s">
        <v>153</v>
      </c>
    </row>
    <row r="31" spans="1:1">
      <c r="A31" t="s">
        <v>118</v>
      </c>
    </row>
    <row r="32" spans="1:1">
      <c r="A32" t="s">
        <v>129</v>
      </c>
    </row>
    <row r="33" spans="1:1">
      <c r="A33" t="s">
        <v>293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64900-3598-473B-B1AB-9B87E5C0A217}">
  <dimension ref="B2:H24"/>
  <sheetViews>
    <sheetView zoomScaleNormal="100" workbookViewId="0">
      <selection activeCell="G9" sqref="G9"/>
    </sheetView>
  </sheetViews>
  <sheetFormatPr baseColWidth="10" defaultColWidth="8.6640625" defaultRowHeight="15"/>
  <cols>
    <col min="1" max="1" width="4.6640625" customWidth="1"/>
    <col min="2" max="2" width="7.1640625" customWidth="1"/>
    <col min="3" max="3" width="14.5" customWidth="1"/>
    <col min="4" max="4" width="40.5" customWidth="1"/>
    <col min="5" max="5" width="51.5" customWidth="1"/>
    <col min="6" max="6" width="20.5" customWidth="1"/>
    <col min="7" max="7" width="13.5" customWidth="1"/>
    <col min="8" max="8" width="48.5" customWidth="1"/>
  </cols>
  <sheetData>
    <row r="2" spans="2:8" ht="26">
      <c r="B2" s="1" t="s">
        <v>294</v>
      </c>
    </row>
    <row r="3" spans="2:8" ht="16" thickBot="1"/>
    <row r="4" spans="2:8" ht="17" thickBot="1">
      <c r="C4" s="14" t="s">
        <v>4</v>
      </c>
      <c r="D4" s="4" t="str">
        <f>Summary!D4</f>
        <v>Portal Agentes</v>
      </c>
      <c r="E4" s="2"/>
      <c r="F4" s="14" t="s">
        <v>42</v>
      </c>
      <c r="G4" s="4" t="s">
        <v>43</v>
      </c>
    </row>
    <row r="5" spans="2:8" ht="17" thickBot="1">
      <c r="C5" s="14" t="s">
        <v>8</v>
      </c>
      <c r="D5" s="5" t="str">
        <f>Summary!D5</f>
        <v>Alex Olivé</v>
      </c>
      <c r="E5" s="2"/>
      <c r="F5" s="14" t="s">
        <v>10</v>
      </c>
      <c r="G5" s="5">
        <v>45616</v>
      </c>
    </row>
    <row r="6" spans="2:8">
      <c r="C6" s="2"/>
      <c r="D6" s="2"/>
      <c r="E6" s="2"/>
      <c r="F6" s="2"/>
      <c r="G6" s="2"/>
    </row>
    <row r="7" spans="2:8">
      <c r="C7" s="2"/>
      <c r="D7" s="2"/>
      <c r="E7" s="2"/>
      <c r="F7" s="2"/>
      <c r="G7" s="2"/>
    </row>
    <row r="8" spans="2:8">
      <c r="B8" s="2" t="s">
        <v>44</v>
      </c>
      <c r="C8" s="2" t="s">
        <v>45</v>
      </c>
      <c r="D8" s="2" t="s">
        <v>295</v>
      </c>
      <c r="E8" s="2" t="s">
        <v>296</v>
      </c>
      <c r="F8" s="2" t="s">
        <v>74</v>
      </c>
      <c r="G8" s="2" t="s">
        <v>51</v>
      </c>
      <c r="H8" s="2" t="s">
        <v>79</v>
      </c>
    </row>
    <row r="9" spans="2:8" ht="16">
      <c r="B9" s="49" t="s">
        <v>297</v>
      </c>
      <c r="C9" s="49" t="s">
        <v>58</v>
      </c>
      <c r="D9" s="50" t="str">
        <f>_xlfn.CONCAT(UATS[[#This Row],[Type]]," UAT ",UATS[[#This Row],[Release]])</f>
        <v>Internal UAT Beta 1</v>
      </c>
      <c r="E9" s="50"/>
      <c r="F9" s="50" t="s">
        <v>298</v>
      </c>
      <c r="G9" s="50" t="s">
        <v>56</v>
      </c>
      <c r="H9" s="50"/>
    </row>
    <row r="10" spans="2:8" ht="16">
      <c r="B10" s="49" t="s">
        <v>299</v>
      </c>
      <c r="C10" s="49" t="s">
        <v>58</v>
      </c>
      <c r="D10" s="50" t="str">
        <f>_xlfn.CONCAT(UATS[[#This Row],[Type]]," UAT ",UATS[[#This Row],[Release]])</f>
        <v>External UAT Beta 1</v>
      </c>
      <c r="E10" s="50"/>
      <c r="F10" s="50" t="s">
        <v>300</v>
      </c>
      <c r="G10" s="50" t="s">
        <v>56</v>
      </c>
      <c r="H10" s="50"/>
    </row>
    <row r="11" spans="2:8" ht="16">
      <c r="B11" s="49" t="s">
        <v>301</v>
      </c>
      <c r="C11" s="49" t="s">
        <v>61</v>
      </c>
      <c r="D11" s="50" t="str">
        <f>_xlfn.CONCAT(UATS[[#This Row],[Type]]," UAT ",UATS[[#This Row],[Release]])</f>
        <v>Internal UAT Beta 2</v>
      </c>
      <c r="E11" s="50"/>
      <c r="F11" s="50" t="s">
        <v>298</v>
      </c>
      <c r="G11" s="50" t="s">
        <v>56</v>
      </c>
      <c r="H11" s="50"/>
    </row>
    <row r="12" spans="2:8" ht="16">
      <c r="B12" s="49" t="s">
        <v>302</v>
      </c>
      <c r="C12" s="49" t="s">
        <v>61</v>
      </c>
      <c r="D12" s="50" t="str">
        <f>_xlfn.CONCAT(UATS[[#This Row],[Type]]," UAT ",UATS[[#This Row],[Release]])</f>
        <v>External UAT Beta 2</v>
      </c>
      <c r="E12" s="50"/>
      <c r="F12" s="50" t="s">
        <v>300</v>
      </c>
      <c r="G12" s="50" t="s">
        <v>56</v>
      </c>
      <c r="H12" s="50"/>
    </row>
    <row r="13" spans="2:8" ht="16">
      <c r="B13" s="49" t="s">
        <v>303</v>
      </c>
      <c r="C13" s="49" t="s">
        <v>64</v>
      </c>
      <c r="D13" s="50" t="str">
        <f>_xlfn.CONCAT(UATS[[#This Row],[Type]]," UAT ",UATS[[#This Row],[Release]])</f>
        <v>Internal UAT Beta 3</v>
      </c>
      <c r="E13" s="50"/>
      <c r="F13" s="50" t="s">
        <v>298</v>
      </c>
      <c r="G13" s="50" t="s">
        <v>56</v>
      </c>
      <c r="H13" s="50"/>
    </row>
    <row r="14" spans="2:8" ht="16">
      <c r="B14" s="49" t="s">
        <v>304</v>
      </c>
      <c r="C14" s="49" t="s">
        <v>64</v>
      </c>
      <c r="D14" s="50" t="str">
        <f>_xlfn.CONCAT(UATS[[#This Row],[Type]]," UAT ",UATS[[#This Row],[Release]])</f>
        <v>External UAT Beta 3</v>
      </c>
      <c r="E14" s="50"/>
      <c r="F14" s="50" t="s">
        <v>300</v>
      </c>
      <c r="G14" s="50" t="s">
        <v>56</v>
      </c>
      <c r="H14" s="50"/>
    </row>
    <row r="15" spans="2:8" ht="16">
      <c r="B15" s="49" t="s">
        <v>305</v>
      </c>
      <c r="C15" s="49" t="s">
        <v>67</v>
      </c>
      <c r="D15" s="50" t="str">
        <f>_xlfn.CONCAT(UATS[[#This Row],[Type]]," UAT ",UATS[[#This Row],[Release]])</f>
        <v>Internal UAT Go Live</v>
      </c>
      <c r="E15" s="50"/>
      <c r="F15" s="50" t="s">
        <v>298</v>
      </c>
      <c r="G15" s="50" t="s">
        <v>56</v>
      </c>
      <c r="H15" s="50"/>
    </row>
    <row r="16" spans="2:8" ht="16">
      <c r="B16" s="49" t="s">
        <v>306</v>
      </c>
      <c r="C16" s="49" t="s">
        <v>67</v>
      </c>
      <c r="D16" s="50" t="str">
        <f>_xlfn.CONCAT(UATS[[#This Row],[Type]]," UAT ",UATS[[#This Row],[Release]])</f>
        <v>External UAT Go Live</v>
      </c>
      <c r="E16" s="50"/>
      <c r="F16" s="50" t="s">
        <v>300</v>
      </c>
      <c r="G16" s="50" t="s">
        <v>56</v>
      </c>
      <c r="H16" s="50"/>
    </row>
    <row r="17" spans="2:8" ht="16">
      <c r="B17" s="49" t="s">
        <v>307</v>
      </c>
      <c r="C17" s="49"/>
      <c r="D17" s="50"/>
      <c r="E17" s="50"/>
      <c r="F17" s="50"/>
      <c r="G17" s="50"/>
      <c r="H17" s="50"/>
    </row>
    <row r="18" spans="2:8" ht="16">
      <c r="B18" s="49" t="s">
        <v>308</v>
      </c>
      <c r="C18" s="49"/>
      <c r="D18" s="50"/>
      <c r="E18" s="50"/>
      <c r="F18" s="50"/>
      <c r="G18" s="49"/>
      <c r="H18" s="49"/>
    </row>
    <row r="19" spans="2:8" ht="16">
      <c r="B19" s="49" t="s">
        <v>309</v>
      </c>
      <c r="C19" s="49"/>
      <c r="D19" s="50"/>
      <c r="E19" s="50"/>
      <c r="F19" s="49"/>
      <c r="G19" s="49"/>
      <c r="H19" s="49"/>
    </row>
    <row r="20" spans="2:8" ht="16">
      <c r="B20" s="49" t="s">
        <v>310</v>
      </c>
      <c r="C20" s="49"/>
      <c r="D20" s="50"/>
      <c r="E20" s="50"/>
      <c r="F20" s="49"/>
      <c r="G20" s="49"/>
      <c r="H20" s="49"/>
    </row>
    <row r="21" spans="2:8" ht="16">
      <c r="B21" s="49" t="s">
        <v>311</v>
      </c>
      <c r="C21" s="49"/>
      <c r="D21" s="50"/>
      <c r="E21" s="50"/>
      <c r="F21" s="49"/>
      <c r="G21" s="49"/>
      <c r="H21" s="49"/>
    </row>
    <row r="22" spans="2:8" ht="16">
      <c r="B22" s="49" t="s">
        <v>312</v>
      </c>
      <c r="C22" s="49"/>
      <c r="D22" s="50"/>
      <c r="E22" s="50"/>
      <c r="F22" s="49"/>
      <c r="G22" s="49"/>
      <c r="H22" s="49"/>
    </row>
    <row r="23" spans="2:8" ht="16">
      <c r="B23" s="49" t="s">
        <v>313</v>
      </c>
      <c r="C23" s="49"/>
      <c r="D23" s="50"/>
      <c r="E23" s="50"/>
      <c r="F23" s="49"/>
      <c r="G23" s="49"/>
      <c r="H23" s="49"/>
    </row>
    <row r="24" spans="2:8" ht="16">
      <c r="B24" s="49" t="s">
        <v>314</v>
      </c>
      <c r="C24" s="49"/>
      <c r="D24" s="50"/>
      <c r="E24" s="50"/>
      <c r="F24" s="49"/>
      <c r="G24" s="49"/>
      <c r="H24" s="49"/>
    </row>
  </sheetData>
  <phoneticPr fontId="3" type="noConversion"/>
  <dataValidations count="3">
    <dataValidation type="list" allowBlank="1" showInputMessage="1" showErrorMessage="1" sqref="F9:F24" xr:uid="{36A17129-6C8F-4746-A279-ED149B57A321}">
      <formula1>"Internal,External"</formula1>
    </dataValidation>
    <dataValidation type="list" allowBlank="1" showInputMessage="1" showErrorMessage="1" sqref="C9:C24" xr:uid="{E026D517-860F-4427-BE2B-189DE5DCEFC2}">
      <formula1>ReleaseList</formula1>
    </dataValidation>
    <dataValidation type="list" allowBlank="1" showInputMessage="1" showErrorMessage="1" sqref="G9:G24" xr:uid="{EE63B17F-7949-48A4-844B-162ABC70AF80}">
      <formula1>"Planned,Validating,Finished"</formula1>
    </dataValidation>
  </dataValidations>
  <pageMargins left="0.7" right="0.7" top="0.75" bottom="0.75" header="0.3" footer="0.3"/>
  <pageSetup paperSize="9" orientation="portrait" horizontalDpi="300" vertic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287C7-7E9C-4CE7-BA5E-059548DA86D7}">
  <dimension ref="A1"/>
  <sheetViews>
    <sheetView workbookViewId="0"/>
  </sheetViews>
  <sheetFormatPr baseColWidth="10" defaultColWidth="8.6640625"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646A44B663FEF4BA587635D12602C7B" ma:contentTypeVersion="0" ma:contentTypeDescription="Crear nuevo documento." ma:contentTypeScope="" ma:versionID="1ef2b5807f65a7b7624b42cd347e7843">
  <xsd:schema xmlns:xsd="http://www.w3.org/2001/XMLSchema" xmlns:xs="http://www.w3.org/2001/XMLSchema" xmlns:p="http://schemas.microsoft.com/office/2006/metadata/properties" targetNamespace="http://schemas.microsoft.com/office/2006/metadata/properties" ma:root="true" ma:fieldsID="cd3db8e179adf860523777aae970467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8DE4A0-E28B-4855-947F-1B81BD2F489F}">
  <ds:schemaRefs>
    <ds:schemaRef ds:uri="http://www.w3.org/XML/1998/namespace"/>
    <ds:schemaRef ds:uri="http://schemas.openxmlformats.org/package/2006/metadata/core-properties"/>
    <ds:schemaRef ds:uri="http://purl.org/dc/dcmitype/"/>
    <ds:schemaRef ds:uri="http://purl.org/dc/terms/"/>
    <ds:schemaRef ds:uri="http://schemas.microsoft.com/office/2006/documentManagement/types"/>
    <ds:schemaRef ds:uri="http://purl.org/dc/elements/1.1/"/>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7E6E9DDB-D516-4881-B0CA-3528FB1761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BF8084A3-B4EA-45AE-97C1-288588FF16A2}">
  <ds:schemaRefs>
    <ds:schemaRef ds:uri="http://schemas.microsoft.com/sharepoint/v3/contenttype/forms"/>
  </ds:schemaRefs>
</ds:datastoreItem>
</file>

<file path=docMetadata/LabelInfo.xml><?xml version="1.0" encoding="utf-8"?>
<clbl:labelList xmlns:clbl="http://schemas.microsoft.com/office/2020/mipLabelMetadata">
  <clbl:label id="{ceccaaf5-93dc-43d3-881d-56d82dcd60de}" enabled="1" method="Standard" siteId="{a2927dc6-fd53-4ed2-94f0-7772c3efd749}"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8</vt:i4>
      </vt:variant>
      <vt:variant>
        <vt:lpstr>Rangos con nombre</vt:lpstr>
      </vt:variant>
      <vt:variant>
        <vt:i4>1</vt:i4>
      </vt:variant>
    </vt:vector>
  </HeadingPairs>
  <TitlesOfParts>
    <vt:vector size="9" baseType="lpstr">
      <vt:lpstr>Summary</vt:lpstr>
      <vt:lpstr>Releases</vt:lpstr>
      <vt:lpstr>Requirements</vt:lpstr>
      <vt:lpstr>Features</vt:lpstr>
      <vt:lpstr>Tasks</vt:lpstr>
      <vt:lpstr>Hoja1</vt:lpstr>
      <vt:lpstr>UATs</vt:lpstr>
      <vt:lpstr>Glossary</vt:lpstr>
      <vt:lpstr>ReleaseList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 Llopart Belloc</dc:creator>
  <cp:keywords/>
  <dc:description/>
  <cp:lastModifiedBy>Àlex Olivé Pérez</cp:lastModifiedBy>
  <cp:revision/>
  <dcterms:created xsi:type="dcterms:W3CDTF">2023-11-09T12:27:28Z</dcterms:created>
  <dcterms:modified xsi:type="dcterms:W3CDTF">2026-01-15T15:06:23Z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ccaaf5-93dc-43d3-881d-56d82dcd60de_Enabled">
    <vt:lpwstr>true</vt:lpwstr>
  </property>
  <property fmtid="{D5CDD505-2E9C-101B-9397-08002B2CF9AE}" pid="3" name="MSIP_Label_ceccaaf5-93dc-43d3-881d-56d82dcd60de_SetDate">
    <vt:lpwstr>2023-11-09T13:08:53Z</vt:lpwstr>
  </property>
  <property fmtid="{D5CDD505-2E9C-101B-9397-08002B2CF9AE}" pid="4" name="MSIP_Label_ceccaaf5-93dc-43d3-881d-56d82dcd60de_Method">
    <vt:lpwstr>Standard</vt:lpwstr>
  </property>
  <property fmtid="{D5CDD505-2E9C-101B-9397-08002B2CF9AE}" pid="5" name="MSIP_Label_ceccaaf5-93dc-43d3-881d-56d82dcd60de_Name">
    <vt:lpwstr>Internal</vt:lpwstr>
  </property>
  <property fmtid="{D5CDD505-2E9C-101B-9397-08002B2CF9AE}" pid="6" name="MSIP_Label_ceccaaf5-93dc-43d3-881d-56d82dcd60de_SiteId">
    <vt:lpwstr>a2927dc6-fd53-4ed2-94f0-7772c3efd749</vt:lpwstr>
  </property>
  <property fmtid="{D5CDD505-2E9C-101B-9397-08002B2CF9AE}" pid="7" name="MSIP_Label_ceccaaf5-93dc-43d3-881d-56d82dcd60de_ActionId">
    <vt:lpwstr>7fad8286-c24b-4d56-921d-cd06a05a3702</vt:lpwstr>
  </property>
  <property fmtid="{D5CDD505-2E9C-101B-9397-08002B2CF9AE}" pid="8" name="MSIP_Label_ceccaaf5-93dc-43d3-881d-56d82dcd60de_ContentBits">
    <vt:lpwstr>0</vt:lpwstr>
  </property>
  <property fmtid="{D5CDD505-2E9C-101B-9397-08002B2CF9AE}" pid="9" name="ContentTypeId">
    <vt:lpwstr>0x0101000646A44B663FEF4BA587635D12602C7B</vt:lpwstr>
  </property>
  <property fmtid="{D5CDD505-2E9C-101B-9397-08002B2CF9AE}" pid="10" name="MediaServiceImageTags">
    <vt:lpwstr/>
  </property>
</Properties>
</file>